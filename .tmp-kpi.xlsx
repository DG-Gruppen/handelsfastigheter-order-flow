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fine.johannessen\Min enhet\Kvartalsuppföljning till intranätet\"/>
    </mc:Choice>
  </mc:AlternateContent>
  <xr:revisionPtr revIDLastSave="0" documentId="8_{66D6F283-059F-4512-9C02-BDA31DC09CCB}" xr6:coauthVersionLast="47" xr6:coauthVersionMax="47" xr10:uidLastSave="{00000000-0000-0000-0000-000000000000}"/>
  <bookViews>
    <workbookView xWindow="-120" yWindow="-120" windowWidth="29040" windowHeight="15720" activeTab="4" xr2:uid="{8136298E-AA29-4011-9F0E-B529E7BC481E}"/>
  </bookViews>
  <sheets>
    <sheet name="Budget och Utfall" sheetId="2" r:id="rId1"/>
    <sheet name="Vakans &amp; Duration" sheetId="3" r:id="rId2"/>
    <sheet name="Fastigheter per region" sheetId="4" r:id="rId3"/>
    <sheet name="Optionsprogram" sheetId="5" r:id="rId4"/>
    <sheet name="Nettouthyrning" sheetId="6" r:id="rId5"/>
  </sheets>
  <definedNames>
    <definedName name="_Order1" hidden="1">255</definedName>
    <definedName name="Byggrätter">#REF!</definedName>
    <definedName name="CashFlowLength">#REF!</definedName>
    <definedName name="CFEqualRows">#REF!,#REF!,#REF!,#REF!,#REF!,#REF!,#REF!,#REF!,#REF!,#REF!</definedName>
    <definedName name="CFSheetOtherCells">#REF!,#REF!,#REF!,#REF!,#REF!</definedName>
    <definedName name="CFSheetValuesCells">#REF!,#REF!,#REF!,#REF!,#REF!</definedName>
    <definedName name="ChangeInCashFlowRow">#REF!</definedName>
    <definedName name="Concepts">#REF!</definedName>
    <definedName name="Cost.Indexation.Total.2018_2021">#REF!</definedName>
    <definedName name="CostSumRow">#REF!,#REF!</definedName>
    <definedName name="CUSHION">#REF!</definedName>
    <definedName name="dfhdfhjfj">#REF!</definedName>
    <definedName name="dhdhd">#REF!</definedName>
    <definedName name="DKK">#REF!</definedName>
    <definedName name="DME_BeforeCloseCompleted" hidden="1">"False"</definedName>
    <definedName name="DME_Dirty" hidden="1">"False"</definedName>
    <definedName name="DME_LocalFile" hidden="1">"True"</definedName>
    <definedName name="DME_ODMALinks1" hidden="1">"::ODMA\DME-MSE\London-50880=C:\TEMP\Dme\London-50880.xls"</definedName>
    <definedName name="DME_ODMALinks2" hidden="1">"::ODMA\DME-MSE\London-48564=C:\TEMP\Dme\London-48564.xls"</definedName>
    <definedName name="DME_ODMALinks3" hidden="1">"::ODMA\DME-MSE\London-48461=C:\TEMP\Dme\London-48461.xls"</definedName>
    <definedName name="DME_ODMALinks4" hidden="1">"::ODMA\DME-MSE\London-50894=C:\TEMP\Dme\London-50894.xls"</definedName>
    <definedName name="DME_ODMALinksCount" hidden="1">"4"</definedName>
    <definedName name="EXCHANGE.SEK.GBP">#REF!</definedName>
    <definedName name="EXIT_FORNYB">#REF!</definedName>
    <definedName name="EXIT_KAPAN">#REF!</definedName>
    <definedName name="EXIT14_">#REF!</definedName>
    <definedName name="Fakt_mån">#REF!</definedName>
    <definedName name="Fastigheter">#REF!</definedName>
    <definedName name="FastighetsID">#REF!</definedName>
    <definedName name="FastTot">#REF!,#REF!,#REF!,#REF!,#REF!,#REF!</definedName>
    <definedName name="ghshsdfh">#REF!</definedName>
    <definedName name="he">#REF!</definedName>
    <definedName name="Helår">#REF!</definedName>
    <definedName name="Instruktion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 hidden="1">"c451"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>1000</definedName>
    <definedName name="IQ_LATESTQ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MES_REVISION_DATE_">40702.8185763889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>3000</definedName>
    <definedName name="IQ_YTDMONTH">130000</definedName>
    <definedName name="IQ_Z_SCORE" hidden="1">"c1339"</definedName>
    <definedName name="IRR_FORNYB">#REF!</definedName>
    <definedName name="IRR_KAPAN">#REF!</definedName>
    <definedName name="jkhjk">#REF!</definedName>
    <definedName name="ko">#REF!</definedName>
    <definedName name="Kvartal_Budget">#REF!</definedName>
    <definedName name="Kvartal_Q">#REF!</definedName>
    <definedName name="Kvartal_QA">#REF!</definedName>
    <definedName name="Kvartal_QPY">#REF!</definedName>
    <definedName name="Kvartal_Rullande">#REF!</definedName>
    <definedName name="Language">#REF!</definedName>
    <definedName name="lISTA">#REF!</definedName>
    <definedName name="Logo">#REF!</definedName>
    <definedName name="LTV_IRR_cell">#REF!</definedName>
    <definedName name="Månader">#REF!</definedName>
    <definedName name="NrProp">#REF!</definedName>
    <definedName name="Nummer">#REF!</definedName>
    <definedName name="Planning">#REF!</definedName>
    <definedName name="Planningtype">#REF!</definedName>
    <definedName name="Prognos">#REF!</definedName>
    <definedName name="PropID">#REF!</definedName>
    <definedName name="PropID2">#REF!</definedName>
    <definedName name="PropNUM">#REF!</definedName>
    <definedName name="RENT">#REF!</definedName>
    <definedName name="Report12PgRng">#REF!,#REF!,#REF!,#REF!,#REF!,#REF!,#REF!,#REF!,#REF!,#REF!,#REF!</definedName>
    <definedName name="ReportPgMVRng">#REF!:INDEX(#REF!,#REF!)</definedName>
    <definedName name="ReportPgPremisesRng">#REF!:INDEX(#REF!,#REF!)</definedName>
    <definedName name="Rull">#REF!</definedName>
    <definedName name="Rullandemån">#REF!</definedName>
    <definedName name="sdgsh">#REF!</definedName>
    <definedName name="sencount" hidden="1">1</definedName>
    <definedName name="sgsghsg">#REF!</definedName>
    <definedName name="srjsrjsrj">#REF!</definedName>
    <definedName name="Summeringar">#REF!</definedName>
    <definedName name="Tabellrubrik__Grupp_B5_Lagpendlingskommun_nara_storre_stad">#REF!</definedName>
    <definedName name="Tabellrubrik__Grupp_C7_Pendlingskommun_nara_mindre_stad">#REF!</definedName>
    <definedName name="Tabellrubrik__Grupp_C9_Landsbygdskommun_med_besoksnaring">#REF!</definedName>
    <definedName name="Tabellrubrik_Bilaga1" localSheetId="1">#REF!</definedName>
    <definedName name="Tabellrubrik_Bilaga1">#REF!</definedName>
    <definedName name="Tabellrubrik_Grupp_A1_Stortstader">#REF!</definedName>
    <definedName name="Tabellrubrik_Grupp_A2_Pendlingskommun_nara_storstad">#REF!</definedName>
    <definedName name="Tabellrubrik_Grupp_B3_Större_stad">#REF!</definedName>
    <definedName name="Tabellrubrik_Grupp_B4_Pendlingskommun_nara_storre_stad">#REF!</definedName>
    <definedName name="Tabellrubrik_Grupp_C6_mindre_stad">#REF!</definedName>
    <definedName name="Tabellrubrik_Grupp_C8_Landsbygdskommun">#REF!</definedName>
    <definedName name="Tabellrubrik_Tabell1_Oversikt">#REF!</definedName>
    <definedName name="Tabellrubrik_Tabell1_Oversikt_2">#REF!</definedName>
    <definedName name="Tabellrubrik_Tabell2_bytt_kommungrupp">#REF!</definedName>
    <definedName name="TablesForReportCostCells">#REF!,#REF!</definedName>
    <definedName name="TablesForReportPropertyTaxCells">#REF!,#REF!,#REF!,#REF!,#REF!</definedName>
    <definedName name="tblFastigheter">#REF!</definedName>
    <definedName name="tblFastigheterAlla">#REF!</definedName>
    <definedName name="tblFastigheterStart">#REF!</definedName>
    <definedName name="tblInstruktion">#REF!</definedName>
    <definedName name="tblSummeraDistriktTotalt">#REF!</definedName>
    <definedName name="tblSummeraFastigheterTotalt">#REF!</definedName>
    <definedName name="tblSummeringar">#REF!</definedName>
    <definedName name="tblÖvrigt">#REF!</definedName>
    <definedName name="TitleRegion1.A2.C25.6">#REF!</definedName>
    <definedName name="TitleRegion1.A2.C29.9">#REF!</definedName>
    <definedName name="TitleRegion1.A2.C35.3">#REF!</definedName>
    <definedName name="TitleRegion1.A2.C5.4">#REF!</definedName>
    <definedName name="TitleRegion1.A2.D11.2">#REF!</definedName>
    <definedName name="TitleRegion1.A2.D26.8">#REF!</definedName>
    <definedName name="TitleRegion1.A2.E292.1" localSheetId="1">#REF!</definedName>
    <definedName name="TitleRegion1.A2.E292.1">#REF!</definedName>
    <definedName name="TitleRegion1.A2.E37.11">#REF!</definedName>
    <definedName name="TitleRegion1.A2.E53.10">#REF!</definedName>
    <definedName name="TitleRegion1.A2.E65.7">#REF!</definedName>
    <definedName name="TitleRegion1.A2.F45.5">#REF!</definedName>
    <definedName name="TitleRegion1.A2.H23.12">#REF!</definedName>
    <definedName name="TitleRegion2.A13.E22.2">#REF!</definedName>
    <definedName name="Types">#REF!</definedName>
    <definedName name="USD">#REF!</definedName>
    <definedName name="ValuationDate">#REF!</definedName>
    <definedName name="Vardering">#REF!</definedName>
    <definedName name="Vardering_fixad">#REF!</definedName>
    <definedName name="Övrig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6" l="1"/>
  <c r="E17" i="6"/>
  <c r="D17" i="6"/>
  <c r="C17" i="6"/>
  <c r="F16" i="6"/>
  <c r="F15" i="6"/>
  <c r="F14" i="6"/>
  <c r="F13" i="6"/>
  <c r="E9" i="6"/>
  <c r="D9" i="6"/>
  <c r="C9" i="6"/>
  <c r="F9" i="6" s="1"/>
  <c r="F8" i="6"/>
  <c r="F7" i="6"/>
  <c r="F6" i="6"/>
  <c r="F5" i="6"/>
  <c r="B8" i="3"/>
  <c r="B9" i="3" s="1"/>
  <c r="B10" i="3" s="1"/>
  <c r="AX39" i="2"/>
  <c r="AW39" i="2"/>
  <c r="AT39" i="2"/>
  <c r="BL39" i="2"/>
  <c r="BI39" i="2"/>
  <c r="AE39" i="2"/>
  <c r="BB39" i="2" s="1"/>
  <c r="AD39" i="2"/>
  <c r="BA39" i="2" s="1"/>
  <c r="AZ39" i="2"/>
  <c r="AB39" i="2"/>
  <c r="AY39" i="2" s="1"/>
  <c r="AA39" i="2"/>
  <c r="Y39" i="2"/>
  <c r="AV39" i="2" s="1"/>
  <c r="J39" i="2"/>
  <c r="E39" i="2"/>
  <c r="BI38" i="2"/>
  <c r="BB38" i="2"/>
  <c r="BA38" i="2"/>
  <c r="AZ38" i="2"/>
  <c r="AW38" i="2"/>
  <c r="BL38" i="2"/>
  <c r="AE38" i="2"/>
  <c r="AD38" i="2"/>
  <c r="AB38" i="2"/>
  <c r="AY38" i="2" s="1"/>
  <c r="AA38" i="2"/>
  <c r="AX38" i="2" s="1"/>
  <c r="AT38" i="2"/>
  <c r="G38" i="2"/>
  <c r="E38" i="2"/>
  <c r="BL37" i="2"/>
  <c r="BI37" i="2"/>
  <c r="BB37" i="2"/>
  <c r="AX37" i="2"/>
  <c r="AE37" i="2"/>
  <c r="AD37" i="2"/>
  <c r="BA37" i="2" s="1"/>
  <c r="AZ37" i="2"/>
  <c r="AB37" i="2"/>
  <c r="AY37" i="2" s="1"/>
  <c r="AA37" i="2"/>
  <c r="AW37" i="2"/>
  <c r="Y37" i="2"/>
  <c r="AV37" i="2" s="1"/>
  <c r="J37" i="2"/>
  <c r="G37" i="2"/>
  <c r="E37" i="2"/>
  <c r="AW36" i="2"/>
  <c r="AV36" i="2"/>
  <c r="AT36" i="2"/>
  <c r="BL36" i="2"/>
  <c r="AZ36" i="2"/>
  <c r="AA36" i="2"/>
  <c r="Y36" i="2"/>
  <c r="J36" i="2"/>
  <c r="E36" i="2"/>
  <c r="BL33" i="2"/>
  <c r="BI33" i="2"/>
  <c r="BB33" i="2"/>
  <c r="BA33" i="2"/>
  <c r="AZ33" i="2"/>
  <c r="AY33" i="2"/>
  <c r="AX33" i="2"/>
  <c r="AW33" i="2"/>
  <c r="AT33" i="2"/>
  <c r="G39" i="2"/>
  <c r="E33" i="2"/>
  <c r="BL32" i="2"/>
  <c r="BI32" i="2"/>
  <c r="BB32" i="2"/>
  <c r="BA32" i="2"/>
  <c r="AZ32" i="2"/>
  <c r="AY32" i="2"/>
  <c r="AX32" i="2"/>
  <c r="AW32" i="2"/>
  <c r="AT32" i="2"/>
  <c r="J38" i="2"/>
  <c r="E32" i="2"/>
  <c r="BL31" i="2"/>
  <c r="BI31" i="2"/>
  <c r="BB31" i="2"/>
  <c r="BA31" i="2"/>
  <c r="AY31" i="2"/>
  <c r="AX31" i="2"/>
  <c r="AZ31" i="2"/>
  <c r="AW31" i="2"/>
  <c r="E31" i="2"/>
  <c r="BL30" i="2"/>
  <c r="BI30" i="2"/>
  <c r="BB30" i="2"/>
  <c r="BA30" i="2"/>
  <c r="AZ30" i="2"/>
  <c r="AE36" i="2"/>
  <c r="AD36" i="2"/>
  <c r="AW30" i="2"/>
  <c r="Y30" i="2"/>
  <c r="AV30" i="2" s="1"/>
  <c r="AT30" i="2"/>
  <c r="E30" i="2"/>
  <c r="Z20" i="2"/>
  <c r="X20" i="2"/>
  <c r="J20" i="2"/>
  <c r="BA19" i="2"/>
  <c r="AZ19" i="2"/>
  <c r="AX19" i="2"/>
  <c r="AW19" i="2"/>
  <c r="AU19" i="2"/>
  <c r="AK19" i="2"/>
  <c r="AM19" i="2" s="1"/>
  <c r="AI19" i="2"/>
  <c r="BF19" i="2" s="1"/>
  <c r="AH19" i="2"/>
  <c r="BE19" i="2" s="1"/>
  <c r="AD19" i="2"/>
  <c r="AE19" i="2"/>
  <c r="BB19" i="2" s="1"/>
  <c r="AA19" i="2"/>
  <c r="AB19" i="2" s="1"/>
  <c r="AY19" i="2" s="1"/>
  <c r="X19" i="2"/>
  <c r="AL19" i="2" s="1"/>
  <c r="AT19" i="2"/>
  <c r="T19" i="2"/>
  <c r="Q13" i="2"/>
  <c r="J19" i="2"/>
  <c r="I13" i="2"/>
  <c r="K13" i="2" s="1"/>
  <c r="G19" i="2"/>
  <c r="D19" i="2"/>
  <c r="C13" i="2"/>
  <c r="E13" i="2" s="1"/>
  <c r="BD18" i="2"/>
  <c r="AU18" i="2"/>
  <c r="AT18" i="2"/>
  <c r="AG18" i="2"/>
  <c r="AD18" i="2"/>
  <c r="BA18" i="2" s="1"/>
  <c r="AQ18" i="2"/>
  <c r="BK18" i="2" s="1"/>
  <c r="AB18" i="2"/>
  <c r="AY18" i="2" s="1"/>
  <c r="AA18" i="2"/>
  <c r="AX18" i="2" s="1"/>
  <c r="AW18" i="2"/>
  <c r="X18" i="2"/>
  <c r="Y18" i="2"/>
  <c r="AV18" i="2" s="1"/>
  <c r="O6" i="2"/>
  <c r="N6" i="2"/>
  <c r="L6" i="2" s="1"/>
  <c r="M18" i="2"/>
  <c r="L18" i="2"/>
  <c r="U18" i="2"/>
  <c r="BA17" i="2"/>
  <c r="AZ17" i="2"/>
  <c r="AY17" i="2"/>
  <c r="AX17" i="2"/>
  <c r="AW17" i="2"/>
  <c r="AL17" i="2"/>
  <c r="AK17" i="2"/>
  <c r="AM17" i="2" s="1"/>
  <c r="AJ17" i="2"/>
  <c r="AI17" i="2"/>
  <c r="BF17" i="2" s="1"/>
  <c r="AH17" i="2"/>
  <c r="BE17" i="2" s="1"/>
  <c r="AD17" i="2"/>
  <c r="AE17" i="2"/>
  <c r="BB17" i="2" s="1"/>
  <c r="AA17" i="2"/>
  <c r="AB17" i="2"/>
  <c r="X17" i="2"/>
  <c r="AU17" i="2" s="1"/>
  <c r="F11" i="2"/>
  <c r="AW16" i="2"/>
  <c r="AW20" i="2" s="1"/>
  <c r="AU16" i="2"/>
  <c r="AU20" i="2" s="1"/>
  <c r="AT16" i="2"/>
  <c r="X16" i="2"/>
  <c r="W20" i="2"/>
  <c r="P20" i="2"/>
  <c r="M16" i="2"/>
  <c r="L16" i="2" s="1"/>
  <c r="P14" i="2"/>
  <c r="O14" i="2"/>
  <c r="N14" i="2"/>
  <c r="M14" i="2"/>
  <c r="J14" i="2"/>
  <c r="G14" i="2"/>
  <c r="D14" i="2"/>
  <c r="BO13" i="2"/>
  <c r="BL13" i="2"/>
  <c r="BI13" i="2"/>
  <c r="BN13" i="2" s="1"/>
  <c r="BG13" i="2"/>
  <c r="BD13" i="2"/>
  <c r="BB13" i="2"/>
  <c r="AZ13" i="2"/>
  <c r="AY13" i="2"/>
  <c r="AW13" i="2"/>
  <c r="AV13" i="2"/>
  <c r="AT13" i="2"/>
  <c r="L13" i="2"/>
  <c r="BL12" i="2"/>
  <c r="BL14" i="2" s="1"/>
  <c r="BI12" i="2"/>
  <c r="BG12" i="2"/>
  <c r="BD12" i="2"/>
  <c r="BB12" i="2"/>
  <c r="AZ12" i="2"/>
  <c r="AY12" i="2"/>
  <c r="AW12" i="2"/>
  <c r="AV12" i="2"/>
  <c r="AT12" i="2"/>
  <c r="Q12" i="2"/>
  <c r="L12" i="2"/>
  <c r="BL11" i="2"/>
  <c r="BO11" i="2" s="1"/>
  <c r="BI11" i="2"/>
  <c r="BG11" i="2"/>
  <c r="BD11" i="2"/>
  <c r="BB11" i="2"/>
  <c r="AZ11" i="2"/>
  <c r="AY11" i="2"/>
  <c r="AW11" i="2"/>
  <c r="AV11" i="2"/>
  <c r="AT11" i="2"/>
  <c r="Q11" i="2"/>
  <c r="L11" i="2"/>
  <c r="I11" i="2"/>
  <c r="K11" i="2" s="1"/>
  <c r="H11" i="2"/>
  <c r="BL10" i="2"/>
  <c r="BI10" i="2"/>
  <c r="BG10" i="2"/>
  <c r="BG14" i="2" s="1"/>
  <c r="BD10" i="2"/>
  <c r="BD14" i="2" s="1"/>
  <c r="BB10" i="2"/>
  <c r="BB14" i="2" s="1"/>
  <c r="AZ10" i="2"/>
  <c r="AZ14" i="2" s="1"/>
  <c r="AY10" i="2"/>
  <c r="AY14" i="2" s="1"/>
  <c r="AW10" i="2"/>
  <c r="AW14" i="2" s="1"/>
  <c r="AV10" i="2"/>
  <c r="AT10" i="2"/>
  <c r="L10" i="2"/>
  <c r="L14" i="2" s="1"/>
  <c r="I10" i="2"/>
  <c r="F10" i="2"/>
  <c r="H10" i="2" s="1"/>
  <c r="AX8" i="2"/>
  <c r="AA8" i="2"/>
  <c r="X8" i="2"/>
  <c r="W8" i="2"/>
  <c r="G8" i="2"/>
  <c r="F8" i="2"/>
  <c r="BG7" i="2"/>
  <c r="BF7" i="2"/>
  <c r="BH7" i="2" s="1"/>
  <c r="BA7" i="2"/>
  <c r="AX7" i="2"/>
  <c r="AW7" i="2"/>
  <c r="AV7" i="2"/>
  <c r="AU7" i="2"/>
  <c r="AT7" i="2"/>
  <c r="AR7" i="2"/>
  <c r="BL7" i="2" s="1"/>
  <c r="BO7" i="2" s="1"/>
  <c r="AQ7" i="2"/>
  <c r="BK7" i="2" s="1"/>
  <c r="AM7" i="2"/>
  <c r="AL7" i="2"/>
  <c r="AJ7" i="2"/>
  <c r="AN7" i="2" s="1"/>
  <c r="BE7" i="2"/>
  <c r="AF7" i="2"/>
  <c r="AZ7" i="2"/>
  <c r="AB7" i="2"/>
  <c r="AY7" i="2" s="1"/>
  <c r="Y7" i="2"/>
  <c r="P7" i="2"/>
  <c r="O7" i="2"/>
  <c r="N7" i="2"/>
  <c r="M19" i="2"/>
  <c r="L19" i="2" s="1"/>
  <c r="L7" i="2"/>
  <c r="K7" i="2"/>
  <c r="H7" i="2"/>
  <c r="U7" i="2"/>
  <c r="BD6" i="2"/>
  <c r="BA6" i="2"/>
  <c r="AZ6" i="2"/>
  <c r="AY6" i="2"/>
  <c r="AX6" i="2"/>
  <c r="AW6" i="2"/>
  <c r="AU6" i="2"/>
  <c r="AL6" i="2"/>
  <c r="AE6" i="2"/>
  <c r="BB6" i="2" s="1"/>
  <c r="AB6" i="2"/>
  <c r="AT6" i="2"/>
  <c r="T6" i="2"/>
  <c r="P6" i="2"/>
  <c r="J18" i="2"/>
  <c r="K18" i="2" s="1"/>
  <c r="I12" i="2"/>
  <c r="K12" i="2" s="1"/>
  <c r="G18" i="2"/>
  <c r="H18" i="2" s="1"/>
  <c r="D18" i="2"/>
  <c r="U6" i="2"/>
  <c r="BF5" i="2"/>
  <c r="BE5" i="2"/>
  <c r="BD5" i="2"/>
  <c r="BC5" i="2" s="1"/>
  <c r="BA5" i="2"/>
  <c r="AX5" i="2"/>
  <c r="AU5" i="2"/>
  <c r="AM5" i="2"/>
  <c r="AL5" i="2"/>
  <c r="AJ5" i="2"/>
  <c r="BG5" i="2" s="1"/>
  <c r="AG17" i="2"/>
  <c r="AF5" i="2"/>
  <c r="AT5" i="2"/>
  <c r="P5" i="2"/>
  <c r="O5" i="2"/>
  <c r="N5" i="2"/>
  <c r="M8" i="2"/>
  <c r="L5" i="2"/>
  <c r="J17" i="2"/>
  <c r="K5" i="2"/>
  <c r="H5" i="2"/>
  <c r="D17" i="2"/>
  <c r="E17" i="2" s="1"/>
  <c r="C11" i="2"/>
  <c r="AZ4" i="2"/>
  <c r="AX4" i="2"/>
  <c r="AW4" i="2"/>
  <c r="AU4" i="2"/>
  <c r="AU8" i="2" s="1"/>
  <c r="AK16" i="2"/>
  <c r="AF4" i="2"/>
  <c r="AE4" i="2"/>
  <c r="AA16" i="2"/>
  <c r="AX16" i="2" s="1"/>
  <c r="AX20" i="2" s="1"/>
  <c r="AQ4" i="2"/>
  <c r="Y4" i="2"/>
  <c r="N4" i="2"/>
  <c r="L4" i="2"/>
  <c r="J16" i="2"/>
  <c r="K16" i="2" s="1"/>
  <c r="G16" i="2"/>
  <c r="H4" i="2"/>
  <c r="BN12" i="2" l="1"/>
  <c r="BI14" i="2"/>
  <c r="AF6" i="2"/>
  <c r="AF8" i="2" s="1"/>
  <c r="AH18" i="2"/>
  <c r="BE6" i="2"/>
  <c r="BC6" i="2" s="1"/>
  <c r="AT20" i="2"/>
  <c r="AI18" i="2"/>
  <c r="BF18" i="2" s="1"/>
  <c r="BF6" i="2"/>
  <c r="AJ6" i="2"/>
  <c r="AT31" i="2"/>
  <c r="Y31" i="2"/>
  <c r="AV31" i="2" s="1"/>
  <c r="G17" i="2"/>
  <c r="U5" i="2"/>
  <c r="BH17" i="2"/>
  <c r="AW5" i="2"/>
  <c r="Z8" i="2"/>
  <c r="AR8" i="2" s="1"/>
  <c r="D8" i="2"/>
  <c r="D16" i="2"/>
  <c r="D20" i="2" s="1"/>
  <c r="AO5" i="2"/>
  <c r="S13" i="2"/>
  <c r="O20" i="2"/>
  <c r="O4" i="2"/>
  <c r="O8" i="2" s="1"/>
  <c r="AB5" i="2"/>
  <c r="AY5" i="2" s="1"/>
  <c r="C8" i="2"/>
  <c r="U4" i="2"/>
  <c r="T4" i="2"/>
  <c r="BK4" i="2" s="1"/>
  <c r="BK8" i="2" s="1"/>
  <c r="AT4" i="2"/>
  <c r="AT8" i="2" s="1"/>
  <c r="C10" i="2"/>
  <c r="E4" i="2"/>
  <c r="BG17" i="2"/>
  <c r="AN17" i="2"/>
  <c r="AR5" i="2"/>
  <c r="BL5" i="2" s="1"/>
  <c r="BO5" i="2" s="1"/>
  <c r="AF17" i="2"/>
  <c r="BD17" i="2"/>
  <c r="BC17" i="2" s="1"/>
  <c r="AD8" i="2"/>
  <c r="BA4" i="2"/>
  <c r="BA8" i="2" s="1"/>
  <c r="F13" i="2"/>
  <c r="H13" i="2" s="1"/>
  <c r="R13" i="2" s="1"/>
  <c r="H19" i="2"/>
  <c r="AY30" i="2"/>
  <c r="AB36" i="2"/>
  <c r="AY36" i="2" s="1"/>
  <c r="G20" i="2"/>
  <c r="N8" i="2"/>
  <c r="AH8" i="2"/>
  <c r="BE4" i="2"/>
  <c r="BE8" i="2" s="1"/>
  <c r="AH16" i="2"/>
  <c r="BD7" i="2"/>
  <c r="BC7" i="2" s="1"/>
  <c r="C20" i="2"/>
  <c r="Y33" i="2"/>
  <c r="AV33" i="2" s="1"/>
  <c r="AZ16" i="2"/>
  <c r="AZ20" i="2" s="1"/>
  <c r="AC20" i="2"/>
  <c r="AG8" i="2"/>
  <c r="AP4" i="2"/>
  <c r="BD4" i="2"/>
  <c r="AG16" i="2"/>
  <c r="P4" i="2"/>
  <c r="P8" i="2" s="1"/>
  <c r="BF4" i="2"/>
  <c r="AI16" i="2"/>
  <c r="AJ4" i="2"/>
  <c r="AN5" i="2"/>
  <c r="F20" i="2"/>
  <c r="AG19" i="2"/>
  <c r="L8" i="2"/>
  <c r="BH5" i="2"/>
  <c r="AD16" i="2"/>
  <c r="Q8" i="2"/>
  <c r="AK20" i="2"/>
  <c r="U11" i="2"/>
  <c r="T11" i="2"/>
  <c r="AI8" i="2"/>
  <c r="AL18" i="2"/>
  <c r="AT17" i="2"/>
  <c r="AR17" i="2"/>
  <c r="BL17" i="2" s="1"/>
  <c r="BO17" i="2" s="1"/>
  <c r="AQ17" i="2"/>
  <c r="BK17" i="2" s="1"/>
  <c r="Y17" i="2"/>
  <c r="AV17" i="2" s="1"/>
  <c r="AX30" i="2"/>
  <c r="G36" i="2"/>
  <c r="AX36" i="2" s="1"/>
  <c r="E6" i="2"/>
  <c r="E11" i="2"/>
  <c r="AQ16" i="2"/>
  <c r="Y32" i="2"/>
  <c r="AV32" i="2" s="1"/>
  <c r="Y38" i="2"/>
  <c r="AV38" i="2" s="1"/>
  <c r="AZ18" i="2"/>
  <c r="AE18" i="2"/>
  <c r="AW8" i="2"/>
  <c r="AZ5" i="2"/>
  <c r="AZ8" i="2" s="1"/>
  <c r="AE5" i="2"/>
  <c r="BO10" i="2"/>
  <c r="AT14" i="2"/>
  <c r="BO14" i="2" s="1"/>
  <c r="Q10" i="2"/>
  <c r="Q14" i="2" s="1"/>
  <c r="Q20" i="2"/>
  <c r="AO17" i="2"/>
  <c r="U19" i="2"/>
  <c r="AK18" i="2"/>
  <c r="AM18" i="2" s="1"/>
  <c r="AM6" i="2"/>
  <c r="I8" i="2"/>
  <c r="BN10" i="2"/>
  <c r="AV14" i="2"/>
  <c r="BO12" i="2"/>
  <c r="AC8" i="2"/>
  <c r="J8" i="2"/>
  <c r="AL16" i="2"/>
  <c r="AL20" i="2" s="1"/>
  <c r="E19" i="2"/>
  <c r="AB16" i="2"/>
  <c r="AE7" i="2"/>
  <c r="BB7" i="2" s="1"/>
  <c r="U13" i="2"/>
  <c r="AA20" i="2"/>
  <c r="BA36" i="2"/>
  <c r="AR18" i="2"/>
  <c r="BL18" i="2" s="1"/>
  <c r="BO18" i="2" s="1"/>
  <c r="BB36" i="2"/>
  <c r="AR4" i="2"/>
  <c r="BL4" i="2" s="1"/>
  <c r="Y5" i="2"/>
  <c r="AQ5" i="2"/>
  <c r="BK5" i="2" s="1"/>
  <c r="F12" i="2"/>
  <c r="H12" i="2" s="1"/>
  <c r="H14" i="2" s="1"/>
  <c r="H6" i="2"/>
  <c r="H8" i="2" s="1"/>
  <c r="AK8" i="2"/>
  <c r="I14" i="2"/>
  <c r="BN11" i="2"/>
  <c r="N20" i="2"/>
  <c r="K17" i="2"/>
  <c r="K20" i="2" s="1"/>
  <c r="AJ19" i="2"/>
  <c r="I20" i="2"/>
  <c r="BI36" i="2"/>
  <c r="AL4" i="2"/>
  <c r="AL8" i="2" s="1"/>
  <c r="E7" i="2"/>
  <c r="K10" i="2"/>
  <c r="K14" i="2" s="1"/>
  <c r="M17" i="2"/>
  <c r="E18" i="2"/>
  <c r="K19" i="2"/>
  <c r="AT37" i="2"/>
  <c r="Y6" i="2"/>
  <c r="AV6" i="2" s="1"/>
  <c r="K6" i="2"/>
  <c r="AQ6" i="2"/>
  <c r="BK6" i="2" s="1"/>
  <c r="T7" i="2"/>
  <c r="C12" i="2"/>
  <c r="H16" i="2"/>
  <c r="T18" i="2"/>
  <c r="Y19" i="2"/>
  <c r="AV19" i="2" s="1"/>
  <c r="AR6" i="2"/>
  <c r="BL6" i="2" s="1"/>
  <c r="BO6" i="2" s="1"/>
  <c r="K4" i="2"/>
  <c r="K8" i="2" s="1"/>
  <c r="Y16" i="2"/>
  <c r="AB4" i="2"/>
  <c r="E5" i="2"/>
  <c r="AO7" i="2"/>
  <c r="AR19" i="2"/>
  <c r="BL19" i="2" s="1"/>
  <c r="BO19" i="2" s="1"/>
  <c r="T5" i="2"/>
  <c r="BI17" i="2" l="1"/>
  <c r="BN17" i="2" s="1"/>
  <c r="BO4" i="2"/>
  <c r="BL8" i="2"/>
  <c r="BO8" i="2" s="1"/>
  <c r="BB4" i="2"/>
  <c r="BB8" i="2" s="1"/>
  <c r="AF18" i="2"/>
  <c r="BE18" i="2"/>
  <c r="BC18" i="2" s="1"/>
  <c r="T12" i="2"/>
  <c r="E12" i="2"/>
  <c r="U12" i="2"/>
  <c r="AP5" i="2"/>
  <c r="BJ5" i="2" s="1"/>
  <c r="BB5" i="2"/>
  <c r="AD20" i="2"/>
  <c r="AR20" i="2" s="1"/>
  <c r="BA16" i="2"/>
  <c r="BA20" i="2" s="1"/>
  <c r="AE8" i="2"/>
  <c r="E8" i="2"/>
  <c r="S4" i="2"/>
  <c r="BJ4" i="2" s="1"/>
  <c r="BJ8" i="2" s="1"/>
  <c r="R4" i="2"/>
  <c r="AV4" i="2"/>
  <c r="BK16" i="2"/>
  <c r="AV5" i="2"/>
  <c r="Y8" i="2"/>
  <c r="BG19" i="2"/>
  <c r="BH19" i="2" s="1"/>
  <c r="AN19" i="2"/>
  <c r="T10" i="2"/>
  <c r="U10" i="2"/>
  <c r="E10" i="2"/>
  <c r="C14" i="2"/>
  <c r="AE16" i="2"/>
  <c r="AH20" i="2"/>
  <c r="BE16" i="2"/>
  <c r="F14" i="2"/>
  <c r="AO19" i="2"/>
  <c r="L17" i="2"/>
  <c r="L20" i="2" s="1"/>
  <c r="M20" i="2"/>
  <c r="BD16" i="2"/>
  <c r="AG20" i="2"/>
  <c r="AP16" i="2"/>
  <c r="AF16" i="2"/>
  <c r="AF20" i="2" s="1"/>
  <c r="R7" i="2"/>
  <c r="S7" i="2"/>
  <c r="AR16" i="2"/>
  <c r="BB18" i="2"/>
  <c r="AP18" i="2"/>
  <c r="BJ18" i="2" s="1"/>
  <c r="AP19" i="2"/>
  <c r="BJ19" i="2" s="1"/>
  <c r="BD19" i="2"/>
  <c r="BC19" i="2" s="1"/>
  <c r="AF19" i="2"/>
  <c r="U16" i="2"/>
  <c r="BI7" i="2"/>
  <c r="BN7" i="2" s="1"/>
  <c r="AM4" i="2"/>
  <c r="U20" i="2"/>
  <c r="T20" i="2"/>
  <c r="S5" i="2"/>
  <c r="R5" i="2"/>
  <c r="AO6" i="2"/>
  <c r="AQ8" i="2"/>
  <c r="T16" i="2"/>
  <c r="U8" i="2"/>
  <c r="T8" i="2"/>
  <c r="U17" i="2"/>
  <c r="T17" i="2"/>
  <c r="S6" i="2"/>
  <c r="R6" i="2"/>
  <c r="AY4" i="2"/>
  <c r="AY8" i="2" s="1"/>
  <c r="AB8" i="2"/>
  <c r="AP8" i="2" s="1"/>
  <c r="AO18" i="2"/>
  <c r="AJ16" i="2"/>
  <c r="AJ8" i="2"/>
  <c r="E16" i="2"/>
  <c r="BN14" i="2"/>
  <c r="R19" i="2"/>
  <c r="S19" i="2"/>
  <c r="AQ19" i="2"/>
  <c r="BK19" i="2" s="1"/>
  <c r="AY16" i="2"/>
  <c r="AY20" i="2" s="1"/>
  <c r="AB20" i="2"/>
  <c r="AI20" i="2"/>
  <c r="BF16" i="2"/>
  <c r="R11" i="2"/>
  <c r="S11" i="2"/>
  <c r="AM16" i="2"/>
  <c r="BC4" i="2"/>
  <c r="BC8" i="2" s="1"/>
  <c r="BD8" i="2"/>
  <c r="BI5" i="2"/>
  <c r="AV16" i="2"/>
  <c r="AV20" i="2" s="1"/>
  <c r="Y20" i="2"/>
  <c r="S18" i="2"/>
  <c r="R18" i="2"/>
  <c r="AP6" i="2"/>
  <c r="BJ6" i="2" s="1"/>
  <c r="T13" i="2"/>
  <c r="H17" i="2"/>
  <c r="H20" i="2" s="1"/>
  <c r="BF8" i="2"/>
  <c r="AP7" i="2"/>
  <c r="BJ7" i="2" s="1"/>
  <c r="AP17" i="2"/>
  <c r="BJ17" i="2" s="1"/>
  <c r="AN6" i="2"/>
  <c r="AJ18" i="2"/>
  <c r="BG6" i="2"/>
  <c r="BH6" i="2" s="1"/>
  <c r="AO4" i="2" l="1"/>
  <c r="AM8" i="2"/>
  <c r="AP20" i="2"/>
  <c r="R12" i="2"/>
  <c r="S12" i="2"/>
  <c r="BJ16" i="2"/>
  <c r="BJ20" i="2" s="1"/>
  <c r="BC16" i="2"/>
  <c r="BC20" i="2" s="1"/>
  <c r="BD20" i="2"/>
  <c r="BK20" i="2"/>
  <c r="AN18" i="2"/>
  <c r="BG18" i="2"/>
  <c r="BH18" i="2" s="1"/>
  <c r="BN5" i="2"/>
  <c r="BI19" i="2"/>
  <c r="BN19" i="2" s="1"/>
  <c r="AV8" i="2"/>
  <c r="E20" i="2"/>
  <c r="S16" i="2"/>
  <c r="R16" i="2"/>
  <c r="BE20" i="2"/>
  <c r="AO16" i="2"/>
  <c r="AM20" i="2"/>
  <c r="BG4" i="2"/>
  <c r="S8" i="2"/>
  <c r="R8" i="2"/>
  <c r="AN8" i="2"/>
  <c r="BI6" i="2"/>
  <c r="BN6" i="2" s="1"/>
  <c r="BB16" i="2"/>
  <c r="BB20" i="2" s="1"/>
  <c r="AE20" i="2"/>
  <c r="AJ20" i="2"/>
  <c r="AN16" i="2"/>
  <c r="BG16" i="2"/>
  <c r="BL16" i="2"/>
  <c r="U14" i="2"/>
  <c r="T14" i="2"/>
  <c r="BF20" i="2"/>
  <c r="BH16" i="2"/>
  <c r="BH20" i="2" s="1"/>
  <c r="R17" i="2"/>
  <c r="S17" i="2"/>
  <c r="AN4" i="2"/>
  <c r="S10" i="2"/>
  <c r="R10" i="2"/>
  <c r="E14" i="2"/>
  <c r="BI18" i="2"/>
  <c r="AQ20" i="2"/>
  <c r="BL20" i="2" l="1"/>
  <c r="BO20" i="2" s="1"/>
  <c r="BO16" i="2"/>
  <c r="AO20" i="2"/>
  <c r="BI16" i="2"/>
  <c r="BG20" i="2"/>
  <c r="BN18" i="2"/>
  <c r="AN20" i="2"/>
  <c r="S20" i="2"/>
  <c r="R20" i="2"/>
  <c r="BG8" i="2"/>
  <c r="BH4" i="2"/>
  <c r="BH8" i="2" s="1"/>
  <c r="S14" i="2"/>
  <c r="R14" i="2"/>
  <c r="AO8" i="2"/>
  <c r="BI4" i="2"/>
  <c r="BI20" i="2" l="1"/>
  <c r="BN20" i="2" s="1"/>
  <c r="BN16" i="2"/>
  <c r="BI8" i="2"/>
  <c r="BN8" i="2" s="1"/>
  <c r="BN4" i="2"/>
</calcChain>
</file>

<file path=xl/sharedStrings.xml><?xml version="1.0" encoding="utf-8"?>
<sst xmlns="http://schemas.openxmlformats.org/spreadsheetml/2006/main" count="314" uniqueCount="101">
  <si>
    <t>Mål</t>
  </si>
  <si>
    <t>Utfall</t>
  </si>
  <si>
    <t>Varians</t>
  </si>
  <si>
    <t>MKR</t>
  </si>
  <si>
    <t>Nord</t>
  </si>
  <si>
    <t>Nord
Förvärv</t>
  </si>
  <si>
    <t>Nord
Total</t>
  </si>
  <si>
    <t>Mitt</t>
  </si>
  <si>
    <t>Mitt
Förvärv</t>
  </si>
  <si>
    <t>Mitt
Total</t>
  </si>
  <si>
    <t>Syd</t>
  </si>
  <si>
    <t>Syd
Förvärv</t>
  </si>
  <si>
    <t>Syd
Total</t>
  </si>
  <si>
    <t>Afu + Elimineringar</t>
  </si>
  <si>
    <t>Afu</t>
  </si>
  <si>
    <t>Jämförbara elimineringar</t>
  </si>
  <si>
    <t>Ej jämförbara elimineringar</t>
  </si>
  <si>
    <t>Totala
Elimineringar</t>
  </si>
  <si>
    <t>Förvärv
(inkl i regioner)</t>
  </si>
  <si>
    <t>Totalt</t>
  </si>
  <si>
    <t>Regioner
 + Afu
+ B elim.</t>
  </si>
  <si>
    <t>Regioner
 + Afu</t>
  </si>
  <si>
    <t>Regioner</t>
  </si>
  <si>
    <t>Nord 
utfall förvärv</t>
  </si>
  <si>
    <t>Mitt 
utfall förvärv</t>
  </si>
  <si>
    <t>Syd 
utfall förvärv</t>
  </si>
  <si>
    <t>Budgeterade elimineringar</t>
  </si>
  <si>
    <t>Elimineringar förvärv</t>
  </si>
  <si>
    <t>Totala Förvärv inkl TB</t>
  </si>
  <si>
    <t>Justering utfall budgeterade förvärv</t>
  </si>
  <si>
    <t>Övriga förvärv</t>
  </si>
  <si>
    <t>Ej budgeterat / kan jämföras</t>
  </si>
  <si>
    <t>Regioner + Afu</t>
  </si>
  <si>
    <t>Nord 
budgeterade förvärv</t>
  </si>
  <si>
    <t>Mitt 
budgeterade förvärv</t>
  </si>
  <si>
    <t>Syd 
budgeterade förvärv</t>
  </si>
  <si>
    <t>Jämförbara
Budgeterade elimineringar</t>
  </si>
  <si>
    <t>Övriga
Budgeterade elimineringar</t>
  </si>
  <si>
    <t>Netto elimineringar och övriga förvärv</t>
  </si>
  <si>
    <t>Check</t>
  </si>
  <si>
    <t>Q1</t>
  </si>
  <si>
    <t>Q2</t>
  </si>
  <si>
    <t>Q3</t>
  </si>
  <si>
    <t>Q4</t>
  </si>
  <si>
    <t>Budget (Driftnetto x underhåll &amp; tomträtt)</t>
  </si>
  <si>
    <t>n.i.</t>
  </si>
  <si>
    <t>Stretch utfall</t>
  </si>
  <si>
    <t>Stretch (Driftnetto x underhåll &amp; tomträtt)</t>
  </si>
  <si>
    <t>Stretchat driftnetto x underhåll &amp; tomträtt (mkr)</t>
  </si>
  <si>
    <t>Mål vakansgrad utgående 2026</t>
  </si>
  <si>
    <t>&lt;2%</t>
  </si>
  <si>
    <t>-</t>
  </si>
  <si>
    <t>IRR vid förvärv</t>
  </si>
  <si>
    <t>&gt;12%</t>
  </si>
  <si>
    <t>Elimineringar</t>
  </si>
  <si>
    <t>Förvärv</t>
  </si>
  <si>
    <t>Region</t>
  </si>
  <si>
    <t>n.a.</t>
  </si>
  <si>
    <t>Budget: Överskottsgrad exkl planerat underhåll &amp; tomrätt</t>
  </si>
  <si>
    <t>Stretch: Överskottsgrad exkl planerat underhåll &amp; tomträtt</t>
  </si>
  <si>
    <t>Ny regionuppdelning för 2026</t>
  </si>
  <si>
    <r>
      <rPr>
        <b/>
        <sz val="10"/>
        <color theme="0"/>
        <rFont val="Raleway"/>
      </rPr>
      <t>Duration</t>
    </r>
    <r>
      <rPr>
        <sz val="10"/>
        <color theme="0"/>
        <rFont val="Raleway"/>
      </rPr>
      <t xml:space="preserve"> exkl. arrende, p-plats, garage</t>
    </r>
  </si>
  <si>
    <t>Exkl. arrende, p-platser, garage</t>
  </si>
  <si>
    <r>
      <rPr>
        <b/>
        <sz val="10"/>
        <color theme="0"/>
        <rFont val="Raleway"/>
      </rPr>
      <t>Ytmässig vakans</t>
    </r>
    <r>
      <rPr>
        <sz val="10"/>
        <color theme="0"/>
        <rFont val="Raleway"/>
      </rPr>
      <t xml:space="preserve"> (netto inflytt) exkl. arrende, p-plats, garage</t>
    </r>
  </si>
  <si>
    <r>
      <rPr>
        <b/>
        <sz val="10"/>
        <color theme="0"/>
        <rFont val="Raleway"/>
      </rPr>
      <t>Ekonomisk vakansgrad</t>
    </r>
    <r>
      <rPr>
        <sz val="10"/>
        <color theme="0"/>
        <rFont val="Raleway"/>
      </rPr>
      <t xml:space="preserve"> (netto inflytt) exkl. arrende, p-plats, garage</t>
    </r>
  </si>
  <si>
    <t>Datum</t>
  </si>
  <si>
    <t>Typ</t>
  </si>
  <si>
    <t>Region Nord</t>
  </si>
  <si>
    <t>Region Mitt</t>
  </si>
  <si>
    <t>Region Syd</t>
  </si>
  <si>
    <t>Uthyrbar area (kvm)</t>
  </si>
  <si>
    <t>Hyresvärde (SEK)</t>
  </si>
  <si>
    <t>Total</t>
  </si>
  <si>
    <t>Siffror baserat på</t>
  </si>
  <si>
    <t>Kommentar</t>
  </si>
  <si>
    <t>Faktisk</t>
  </si>
  <si>
    <t>Duration baserat på Hyra, utdrag per 260220 för ny mappning</t>
  </si>
  <si>
    <t>Duration baserat på Hyra, utdrag per 260302</t>
  </si>
  <si>
    <t>Duration baserat på Hyra, utdrag per 260401</t>
  </si>
  <si>
    <t xml:space="preserve"> </t>
  </si>
  <si>
    <t>*OBS ny fastighetsfördelning från Q1</t>
  </si>
  <si>
    <t>Enhet</t>
  </si>
  <si>
    <t>Q4-25</t>
  </si>
  <si>
    <t>Q1-26</t>
  </si>
  <si>
    <t>Uthyrbar area, TKVM (Vitec)</t>
  </si>
  <si>
    <t>TKVM</t>
  </si>
  <si>
    <t>Fastighetsvärde (MDR)</t>
  </si>
  <si>
    <t>MDR</t>
  </si>
  <si>
    <t>Hyresvärdet MKR</t>
  </si>
  <si>
    <t>Antal fastigheter</t>
  </si>
  <si>
    <t>ST</t>
  </si>
  <si>
    <t>SEK/st</t>
  </si>
  <si>
    <t>Optionsprogram</t>
  </si>
  <si>
    <t>Aktiekurs</t>
  </si>
  <si>
    <t>Uppdaterad</t>
  </si>
  <si>
    <t>Nettouthyrning (SEK)</t>
  </si>
  <si>
    <t>SEK</t>
  </si>
  <si>
    <t>*ej komplett</t>
  </si>
  <si>
    <t>YTD</t>
  </si>
  <si>
    <t>Antal nytecknade kontrakt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</si>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</sst>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;[Red]\-#,##0.0;&quot;-&quot;"/>
    <numFmt numFmtId="165" formatCode="_-* #,##0.0_-;\-* #,##0.0_-;_-* &quot;-&quot;??_-;_-@_-"/>
    <numFmt numFmtId="166" formatCode="_-* #,##0.00000_-;\-* #,##0.00000_-;_-* &quot;-&quot;??_-;_-@_-"/>
    <numFmt numFmtId="167" formatCode="#,##0.0_ ;[Red]\-#,##0.0\ "/>
    <numFmt numFmtId="168" formatCode="_-* #,##0.0\ _k_r_-;\-* #,##0.0\ _k_r_-;_-* &quot;-&quot;?\ _k_r_-;_-@_-"/>
    <numFmt numFmtId="169" formatCode="0.0%"/>
    <numFmt numFmtId="170" formatCode="[$-41D]mmm/yy;@"/>
    <numFmt numFmtId="171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sz val="8"/>
      <color theme="0"/>
      <name val="Tahoma"/>
      <family val="2"/>
    </font>
    <font>
      <i/>
      <sz val="8"/>
      <name val="Tahoma"/>
      <family val="2"/>
    </font>
    <font>
      <sz val="11"/>
      <name val="Calibri"/>
      <family val="2"/>
    </font>
    <font>
      <b/>
      <i/>
      <sz val="8"/>
      <name val="Tahoma"/>
      <family val="2"/>
    </font>
    <font>
      <sz val="8"/>
      <color rgb="FFFFFFFF"/>
      <name val="Tahoma"/>
      <family val="2"/>
    </font>
    <font>
      <b/>
      <sz val="10"/>
      <name val="Raleway"/>
    </font>
    <font>
      <sz val="10"/>
      <name val="Raleway"/>
    </font>
    <font>
      <sz val="10"/>
      <color theme="0"/>
      <name val="Raleway"/>
    </font>
    <font>
      <b/>
      <sz val="10"/>
      <color theme="0"/>
      <name val="Raleway"/>
    </font>
  </fonts>
  <fills count="2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Up">
        <bgColor theme="0" tint="-4.9989318521683403E-2"/>
      </patternFill>
    </fill>
    <fill>
      <patternFill patternType="darkUp"/>
    </fill>
    <fill>
      <patternFill patternType="darkUp">
        <bgColor theme="3" tint="0.79998168889431442"/>
      </patternFill>
    </fill>
    <fill>
      <patternFill patternType="darkUp">
        <bgColor theme="4" tint="0.79998168889431442"/>
      </patternFill>
    </fill>
    <fill>
      <patternFill patternType="darkDown">
        <bgColor theme="0" tint="-4.9989318521683403E-2"/>
      </patternFill>
    </fill>
    <fill>
      <patternFill patternType="darkDown"/>
    </fill>
    <fill>
      <patternFill patternType="darkDown">
        <bgColor theme="3" tint="0.79998168889431442"/>
      </patternFill>
    </fill>
    <fill>
      <patternFill patternType="darkDown">
        <bgColor theme="4" tint="0.79998168889431442"/>
      </patternFill>
    </fill>
    <fill>
      <patternFill patternType="solid">
        <fgColor rgb="FF4F6228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</cellStyleXfs>
  <cellXfs count="106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16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right"/>
    </xf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3" fillId="2" borderId="0" xfId="1" applyFont="1" applyFill="1" applyAlignment="1">
      <alignment horizontal="right" wrapText="1"/>
    </xf>
    <xf numFmtId="0" fontId="1" fillId="3" borderId="0" xfId="1" applyFill="1" applyAlignment="1">
      <alignment horizontal="right" wrapText="1"/>
    </xf>
    <xf numFmtId="0" fontId="3" fillId="4" borderId="0" xfId="1" applyFont="1" applyFill="1" applyAlignment="1">
      <alignment horizontal="right"/>
    </xf>
    <xf numFmtId="0" fontId="3" fillId="4" borderId="0" xfId="1" applyFont="1" applyFill="1" applyAlignment="1">
      <alignment horizontal="right" wrapText="1"/>
    </xf>
    <xf numFmtId="0" fontId="1" fillId="5" borderId="0" xfId="1" applyFill="1" applyAlignment="1">
      <alignment horizontal="right"/>
    </xf>
    <xf numFmtId="165" fontId="1" fillId="3" borderId="0" xfId="1" applyNumberFormat="1" applyFill="1" applyAlignment="1">
      <alignment horizontal="right"/>
    </xf>
    <xf numFmtId="165" fontId="1" fillId="0" borderId="0" xfId="1" applyNumberFormat="1" applyAlignment="1">
      <alignment horizontal="right"/>
    </xf>
    <xf numFmtId="165" fontId="2" fillId="6" borderId="0" xfId="1" applyNumberFormat="1" applyFont="1" applyFill="1" applyAlignment="1">
      <alignment horizontal="right"/>
    </xf>
    <xf numFmtId="165" fontId="2" fillId="7" borderId="0" xfId="1" applyNumberFormat="1" applyFont="1" applyFill="1" applyAlignment="1">
      <alignment horizontal="right"/>
    </xf>
    <xf numFmtId="164" fontId="4" fillId="3" borderId="0" xfId="1" applyNumberFormat="1" applyFont="1" applyFill="1" applyAlignment="1">
      <alignment horizontal="right"/>
    </xf>
    <xf numFmtId="164" fontId="1" fillId="0" borderId="0" xfId="1" applyNumberFormat="1" applyAlignment="1">
      <alignment horizontal="right"/>
    </xf>
    <xf numFmtId="164" fontId="1" fillId="3" borderId="0" xfId="1" applyNumberFormat="1" applyFill="1" applyAlignment="1">
      <alignment horizontal="right"/>
    </xf>
    <xf numFmtId="165" fontId="2" fillId="8" borderId="0" xfId="1" applyNumberFormat="1" applyFont="1" applyFill="1" applyAlignment="1">
      <alignment horizontal="right"/>
    </xf>
    <xf numFmtId="164" fontId="2" fillId="9" borderId="0" xfId="1" applyNumberFormat="1" applyFont="1" applyFill="1" applyAlignment="1">
      <alignment horizontal="right"/>
    </xf>
    <xf numFmtId="164" fontId="2" fillId="8" borderId="0" xfId="1" applyNumberFormat="1" applyFont="1" applyFill="1" applyAlignment="1">
      <alignment horizontal="right"/>
    </xf>
    <xf numFmtId="166" fontId="1" fillId="5" borderId="0" xfId="2" applyNumberFormat="1" applyFont="1" applyFill="1"/>
    <xf numFmtId="43" fontId="1" fillId="5" borderId="0" xfId="2" applyFont="1" applyFill="1"/>
    <xf numFmtId="165" fontId="2" fillId="3" borderId="0" xfId="1" applyNumberFormat="1" applyFont="1" applyFill="1" applyAlignment="1">
      <alignment horizontal="right"/>
    </xf>
    <xf numFmtId="165" fontId="2" fillId="0" borderId="0" xfId="1" applyNumberFormat="1" applyFont="1" applyAlignment="1">
      <alignment horizontal="right"/>
    </xf>
    <xf numFmtId="164" fontId="6" fillId="3" borderId="0" xfId="1" applyNumberFormat="1" applyFont="1" applyFill="1" applyAlignment="1">
      <alignment horizontal="right"/>
    </xf>
    <xf numFmtId="164" fontId="2" fillId="0" borderId="0" xfId="1" applyNumberFormat="1" applyFont="1" applyAlignment="1">
      <alignment horizontal="right"/>
    </xf>
    <xf numFmtId="16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right"/>
    </xf>
    <xf numFmtId="164" fontId="4" fillId="10" borderId="0" xfId="1" applyNumberFormat="1" applyFont="1" applyFill="1" applyAlignment="1">
      <alignment horizontal="right"/>
    </xf>
    <xf numFmtId="164" fontId="1" fillId="11" borderId="0" xfId="1" applyNumberFormat="1" applyFill="1" applyAlignment="1">
      <alignment horizontal="right"/>
    </xf>
    <xf numFmtId="164" fontId="1" fillId="10" borderId="0" xfId="1" applyNumberFormat="1" applyFill="1" applyAlignment="1">
      <alignment horizontal="right"/>
    </xf>
    <xf numFmtId="165" fontId="2" fillId="12" borderId="0" xfId="1" applyNumberFormat="1" applyFont="1" applyFill="1" applyAlignment="1">
      <alignment horizontal="right"/>
    </xf>
    <xf numFmtId="164" fontId="2" fillId="13" borderId="0" xfId="1" applyNumberFormat="1" applyFont="1" applyFill="1" applyAlignment="1">
      <alignment horizontal="right"/>
    </xf>
    <xf numFmtId="164" fontId="4" fillId="14" borderId="0" xfId="1" applyNumberFormat="1" applyFont="1" applyFill="1" applyAlignment="1">
      <alignment horizontal="right"/>
    </xf>
    <xf numFmtId="164" fontId="1" fillId="15" borderId="0" xfId="1" applyNumberFormat="1" applyFill="1" applyAlignment="1">
      <alignment horizontal="right"/>
    </xf>
    <xf numFmtId="164" fontId="2" fillId="16" borderId="0" xfId="1" applyNumberFormat="1" applyFont="1" applyFill="1" applyAlignment="1">
      <alignment horizontal="right"/>
    </xf>
    <xf numFmtId="164" fontId="2" fillId="17" borderId="0" xfId="1" applyNumberFormat="1" applyFont="1" applyFill="1" applyAlignment="1">
      <alignment horizontal="right"/>
    </xf>
    <xf numFmtId="164" fontId="6" fillId="10" borderId="0" xfId="1" applyNumberFormat="1" applyFont="1" applyFill="1" applyAlignment="1">
      <alignment horizontal="right"/>
    </xf>
    <xf numFmtId="164" fontId="2" fillId="11" borderId="0" xfId="1" applyNumberFormat="1" applyFont="1" applyFill="1" applyAlignment="1">
      <alignment horizontal="right"/>
    </xf>
    <xf numFmtId="164" fontId="6" fillId="14" borderId="0" xfId="1" applyNumberFormat="1" applyFont="1" applyFill="1" applyAlignment="1">
      <alignment horizontal="right"/>
    </xf>
    <xf numFmtId="164" fontId="2" fillId="15" borderId="0" xfId="1" applyNumberFormat="1" applyFont="1" applyFill="1" applyAlignment="1">
      <alignment horizontal="right"/>
    </xf>
    <xf numFmtId="165" fontId="4" fillId="3" borderId="0" xfId="1" applyNumberFormat="1" applyFont="1" applyFill="1" applyAlignment="1">
      <alignment horizontal="right"/>
    </xf>
    <xf numFmtId="167" fontId="1" fillId="0" borderId="0" xfId="1" applyNumberFormat="1"/>
    <xf numFmtId="165" fontId="2" fillId="9" borderId="0" xfId="1" applyNumberFormat="1" applyFont="1" applyFill="1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 applyNumberFormat="1"/>
    <xf numFmtId="0" fontId="1" fillId="7" borderId="1" xfId="1" applyFill="1" applyBorder="1"/>
    <xf numFmtId="0" fontId="1" fillId="7" borderId="2" xfId="1" applyFill="1" applyBorder="1" applyAlignment="1">
      <alignment horizontal="right"/>
    </xf>
    <xf numFmtId="165" fontId="0" fillId="7" borderId="2" xfId="2" applyNumberFormat="1" applyFont="1" applyFill="1" applyBorder="1" applyAlignment="1">
      <alignment horizontal="right"/>
    </xf>
    <xf numFmtId="0" fontId="1" fillId="7" borderId="3" xfId="1" applyFill="1" applyBorder="1" applyAlignment="1">
      <alignment horizontal="right"/>
    </xf>
    <xf numFmtId="0" fontId="7" fillId="18" borderId="0" xfId="1" applyFont="1" applyFill="1"/>
    <xf numFmtId="169" fontId="7" fillId="18" borderId="0" xfId="3" applyNumberFormat="1" applyFont="1" applyFill="1" applyAlignment="1">
      <alignment horizontal="right"/>
    </xf>
    <xf numFmtId="0" fontId="7" fillId="18" borderId="0" xfId="1" applyFont="1" applyFill="1" applyAlignment="1">
      <alignment horizontal="right"/>
    </xf>
    <xf numFmtId="0" fontId="7" fillId="19" borderId="0" xfId="1" applyFont="1" applyFill="1" applyAlignment="1">
      <alignment horizontal="right"/>
    </xf>
    <xf numFmtId="169" fontId="1" fillId="3" borderId="0" xfId="3" applyNumberFormat="1" applyFont="1" applyFill="1" applyAlignment="1">
      <alignment horizontal="right"/>
    </xf>
    <xf numFmtId="169" fontId="4" fillId="3" borderId="0" xfId="1" applyNumberFormat="1" applyFont="1" applyFill="1" applyAlignment="1">
      <alignment horizontal="right"/>
    </xf>
    <xf numFmtId="169" fontId="1" fillId="0" borderId="0" xfId="1" applyNumberFormat="1" applyAlignment="1">
      <alignment horizontal="right"/>
    </xf>
    <xf numFmtId="169" fontId="1" fillId="0" borderId="0" xfId="3" applyNumberFormat="1" applyFont="1" applyAlignment="1">
      <alignment horizontal="right"/>
    </xf>
    <xf numFmtId="169" fontId="1" fillId="11" borderId="0" xfId="1" applyNumberFormat="1" applyFill="1" applyAlignment="1">
      <alignment horizontal="right"/>
    </xf>
    <xf numFmtId="169" fontId="2" fillId="0" borderId="0" xfId="1" applyNumberFormat="1" applyFont="1" applyAlignment="1">
      <alignment horizontal="right"/>
    </xf>
    <xf numFmtId="169" fontId="1" fillId="20" borderId="0" xfId="3" applyNumberFormat="1" applyFont="1" applyFill="1" applyAlignment="1">
      <alignment horizontal="right"/>
    </xf>
    <xf numFmtId="169" fontId="2" fillId="3" borderId="0" xfId="1" applyNumberFormat="1" applyFont="1" applyFill="1" applyAlignment="1">
      <alignment horizontal="right"/>
    </xf>
    <xf numFmtId="0" fontId="1" fillId="3" borderId="0" xfId="1" applyFill="1" applyAlignment="1">
      <alignment horizontal="right"/>
    </xf>
    <xf numFmtId="0" fontId="1" fillId="3" borderId="0" xfId="1" applyFill="1"/>
    <xf numFmtId="169" fontId="1" fillId="3" borderId="0" xfId="1" applyNumberFormat="1" applyFill="1" applyAlignment="1">
      <alignment horizontal="right"/>
    </xf>
    <xf numFmtId="0" fontId="8" fillId="0" borderId="0" xfId="4" applyFont="1" applyAlignment="1">
      <alignment horizontal="left"/>
    </xf>
    <xf numFmtId="0" fontId="9" fillId="0" borderId="0" xfId="4" applyFont="1" applyAlignment="1">
      <alignment horizontal="left"/>
    </xf>
    <xf numFmtId="0" fontId="9" fillId="0" borderId="0" xfId="4" applyFont="1"/>
    <xf numFmtId="0" fontId="10" fillId="4" borderId="0" xfId="4" applyFont="1" applyFill="1" applyAlignment="1">
      <alignment horizontal="left"/>
    </xf>
    <xf numFmtId="0" fontId="10" fillId="4" borderId="4" xfId="4" applyFont="1" applyFill="1" applyBorder="1" applyAlignment="1">
      <alignment horizontal="center"/>
    </xf>
    <xf numFmtId="0" fontId="9" fillId="0" borderId="0" xfId="4" applyFont="1" applyAlignment="1">
      <alignment horizontal="right"/>
    </xf>
    <xf numFmtId="0" fontId="10" fillId="4" borderId="0" xfId="4" applyFont="1" applyFill="1" applyAlignment="1">
      <alignment horizontal="right"/>
    </xf>
    <xf numFmtId="170" fontId="9" fillId="0" borderId="0" xfId="4" applyNumberFormat="1" applyFont="1" applyAlignment="1">
      <alignment horizontal="left"/>
    </xf>
    <xf numFmtId="43" fontId="9" fillId="0" borderId="0" xfId="4" applyNumberFormat="1" applyFont="1" applyAlignment="1">
      <alignment horizontal="right"/>
    </xf>
    <xf numFmtId="2" fontId="9" fillId="0" borderId="0" xfId="4" applyNumberFormat="1" applyFont="1" applyAlignment="1">
      <alignment horizontal="right"/>
    </xf>
    <xf numFmtId="171" fontId="9" fillId="0" borderId="0" xfId="2" applyNumberFormat="1" applyFont="1" applyAlignment="1">
      <alignment horizontal="right"/>
    </xf>
    <xf numFmtId="10" fontId="9" fillId="0" borderId="0" xfId="3" applyNumberFormat="1" applyFont="1" applyAlignment="1">
      <alignment horizontal="right"/>
    </xf>
    <xf numFmtId="170" fontId="8" fillId="0" borderId="0" xfId="4" applyNumberFormat="1" applyFont="1" applyAlignment="1">
      <alignment horizontal="left"/>
    </xf>
    <xf numFmtId="43" fontId="8" fillId="0" borderId="0" xfId="4" applyNumberFormat="1" applyFont="1" applyAlignment="1">
      <alignment horizontal="right"/>
    </xf>
    <xf numFmtId="2" fontId="8" fillId="0" borderId="0" xfId="4" applyNumberFormat="1" applyFont="1" applyAlignment="1">
      <alignment horizontal="right"/>
    </xf>
    <xf numFmtId="171" fontId="8" fillId="0" borderId="0" xfId="2" applyNumberFormat="1" applyFont="1" applyAlignment="1">
      <alignment horizontal="right"/>
    </xf>
    <xf numFmtId="10" fontId="8" fillId="0" borderId="0" xfId="3" applyNumberFormat="1" applyFont="1" applyAlignment="1">
      <alignment horizontal="right"/>
    </xf>
    <xf numFmtId="10" fontId="9" fillId="0" borderId="0" xfId="3" applyNumberFormat="1" applyFont="1"/>
    <xf numFmtId="14" fontId="8" fillId="0" borderId="0" xfId="4" applyNumberFormat="1" applyFont="1" applyAlignment="1">
      <alignment horizontal="left"/>
    </xf>
    <xf numFmtId="14" fontId="9" fillId="0" borderId="0" xfId="4" applyNumberFormat="1" applyFont="1" applyAlignment="1">
      <alignment horizontal="left"/>
    </xf>
    <xf numFmtId="43" fontId="9" fillId="0" borderId="0" xfId="4" applyNumberFormat="1" applyFont="1"/>
    <xf numFmtId="2" fontId="9" fillId="0" borderId="0" xfId="4" applyNumberFormat="1" applyFont="1"/>
    <xf numFmtId="0" fontId="9" fillId="0" borderId="0" xfId="1" applyFont="1"/>
    <xf numFmtId="0" fontId="10" fillId="21" borderId="0" xfId="4" applyFont="1" applyFill="1" applyAlignment="1">
      <alignment horizontal="left"/>
    </xf>
    <xf numFmtId="0" fontId="9" fillId="9" borderId="0" xfId="1" applyFont="1" applyFill="1"/>
    <xf numFmtId="171" fontId="9" fillId="0" borderId="0" xfId="2" applyNumberFormat="1" applyFont="1"/>
    <xf numFmtId="165" fontId="9" fillId="0" borderId="0" xfId="2" applyNumberFormat="1" applyFont="1"/>
    <xf numFmtId="0" fontId="3" fillId="4" borderId="0" xfId="1" applyFont="1" applyFill="1"/>
    <xf numFmtId="43" fontId="0" fillId="0" borderId="0" xfId="2" applyFont="1" applyAlignment="1">
      <alignment horizontal="right"/>
    </xf>
    <xf numFmtId="43" fontId="0" fillId="0" borderId="0" xfId="2" applyFont="1"/>
    <xf numFmtId="14" fontId="1" fillId="5" borderId="0" xfId="1" applyNumberFormat="1" applyFill="1"/>
    <xf numFmtId="0" fontId="3" fillId="4" borderId="0" xfId="1" applyFont="1" applyFill="1" applyAlignment="1">
      <alignment horizontal="left"/>
    </xf>
    <xf numFmtId="3" fontId="1" fillId="0" borderId="0" xfId="1" applyNumberFormat="1" applyAlignment="1">
      <alignment horizontal="right"/>
    </xf>
    <xf numFmtId="0" fontId="4" fillId="0" borderId="0" xfId="1" applyFont="1"/>
    <xf numFmtId="0" fontId="2" fillId="0" borderId="5" xfId="1" applyFont="1" applyBorder="1"/>
    <xf numFmtId="3" fontId="2" fillId="0" borderId="5" xfId="1" applyNumberFormat="1" applyFont="1" applyBorder="1" applyAlignment="1">
      <alignment horizontal="right"/>
    </xf>
    <xf numFmtId="3" fontId="1" fillId="0" borderId="0" xfId="1" applyNumberFormat="1"/>
    <xf numFmtId="3" fontId="2" fillId="0" borderId="0" xfId="1" applyNumberFormat="1" applyFont="1" applyAlignment="1">
      <alignment horizontal="right"/>
    </xf>
  </cellXfs>
  <cellStyles count="5">
    <cellStyle name="Comma 2" xfId="2" xr:uid="{8C44CFE6-8DF6-48D1-8EAE-F5A5F0F2A192}"/>
    <cellStyle name="Normal" xfId="0" builtinId="0"/>
    <cellStyle name="Normal 2" xfId="1" xr:uid="{C788DAE1-217D-4522-8051-6CC48E6487A0}"/>
    <cellStyle name="Normal 3" xfId="4" xr:uid="{AFAFC9E4-C5FE-4931-AEC4-8E6C77523A78}"/>
    <cellStyle name="Percent 2" xfId="3" xr:uid="{FC5D68CC-5464-477A-89C7-6B8EA3B7C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A1D3-E2EC-4D11-A4C4-F0492D4CFA0E}">
  <dimension ref="A1:BR42"/>
  <sheetViews>
    <sheetView showGridLines="0" zoomScaleNormal="100" workbookViewId="0">
      <selection activeCell="BC25" sqref="BC25"/>
    </sheetView>
  </sheetViews>
  <sheetFormatPr defaultRowHeight="10.5" outlineLevelCol="2" x14ac:dyDescent="0.15"/>
  <cols>
    <col min="1" max="1" width="1.140625" style="1" customWidth="1"/>
    <col min="2" max="2" width="34.5703125" style="1" customWidth="1"/>
    <col min="3" max="3" width="8" style="2" hidden="1" customWidth="1" outlineLevel="1"/>
    <col min="4" max="4" width="9.5703125" style="2" hidden="1" customWidth="1" outlineLevel="1"/>
    <col min="5" max="5" width="9.5703125" style="2" customWidth="1" collapsed="1"/>
    <col min="6" max="6" width="8" style="2" hidden="1" customWidth="1" outlineLevel="1"/>
    <col min="7" max="7" width="9.5703125" style="2" hidden="1" customWidth="1" outlineLevel="1"/>
    <col min="8" max="8" width="9.5703125" style="2" customWidth="1" collapsed="1"/>
    <col min="9" max="9" width="8" style="2" hidden="1" customWidth="1" outlineLevel="1"/>
    <col min="10" max="10" width="9.5703125" style="2" hidden="1" customWidth="1" outlineLevel="1"/>
    <col min="11" max="11" width="9.5703125" style="2" customWidth="1" collapsed="1"/>
    <col min="12" max="12" width="9.5703125" style="2" customWidth="1"/>
    <col min="13" max="13" width="0" style="2" hidden="1" customWidth="1" outlineLevel="1"/>
    <col min="14" max="14" width="10.28515625" style="2" hidden="1" customWidth="1" outlineLevel="1"/>
    <col min="15" max="15" width="9.7109375" style="2" customWidth="1" collapsed="1"/>
    <col min="16" max="16" width="9.5703125" style="2" hidden="1" customWidth="1" outlineLevel="1"/>
    <col min="17" max="17" width="9.5703125" style="2" hidden="1" customWidth="1" outlineLevel="2"/>
    <col min="18" max="18" width="8.28515625" style="2" bestFit="1" customWidth="1" collapsed="1"/>
    <col min="19" max="19" width="9.28515625" style="2" customWidth="1"/>
    <col min="20" max="20" width="9.28515625" style="2" hidden="1" customWidth="1" outlineLevel="1"/>
    <col min="21" max="21" width="8.28515625" style="2" bestFit="1" customWidth="1" collapsed="1"/>
    <col min="22" max="22" width="1.7109375" style="1" customWidth="1"/>
    <col min="23" max="23" width="8.140625" style="1" hidden="1" customWidth="1" outlineLevel="1"/>
    <col min="24" max="24" width="9.7109375" style="1" hidden="1" customWidth="1" outlineLevel="1"/>
    <col min="25" max="25" width="9.5703125" style="2" customWidth="1" collapsed="1"/>
    <col min="26" max="26" width="8.140625" style="1" hidden="1" customWidth="1" outlineLevel="1"/>
    <col min="27" max="27" width="9.7109375" style="1" hidden="1" customWidth="1" outlineLevel="1"/>
    <col min="28" max="28" width="9.5703125" style="2" customWidth="1" collapsed="1"/>
    <col min="29" max="29" width="8.140625" style="1" hidden="1" customWidth="1" outlineLevel="1"/>
    <col min="30" max="30" width="9.7109375" style="1" hidden="1" customWidth="1" outlineLevel="1"/>
    <col min="31" max="31" width="9.5703125" style="2" customWidth="1" collapsed="1"/>
    <col min="32" max="32" width="9.5703125" style="2" customWidth="1"/>
    <col min="33" max="33" width="8.140625" style="1" hidden="1" customWidth="1" outlineLevel="1"/>
    <col min="34" max="34" width="9.85546875" style="1" hidden="1" customWidth="1" outlineLevel="1"/>
    <col min="35" max="35" width="9.7109375" style="1" hidden="1" customWidth="1" outlineLevel="2"/>
    <col min="36" max="36" width="9.7109375" style="1" hidden="1" customWidth="1" outlineLevel="1" collapsed="1"/>
    <col min="37" max="38" width="9.7109375" style="1" hidden="1" customWidth="1" outlineLevel="2"/>
    <col min="39" max="39" width="9.7109375" style="1" hidden="1" customWidth="1" outlineLevel="1" collapsed="1"/>
    <col min="40" max="40" width="9.7109375" style="1" customWidth="1" collapsed="1"/>
    <col min="41" max="41" width="6.85546875" style="1" bestFit="1" customWidth="1"/>
    <col min="42" max="42" width="9" style="1" customWidth="1"/>
    <col min="43" max="43" width="9" style="1" hidden="1" customWidth="1" outlineLevel="1"/>
    <col min="44" max="44" width="8.140625" style="1" bestFit="1" customWidth="1" collapsed="1"/>
    <col min="45" max="45" width="1.7109375" style="1" customWidth="1"/>
    <col min="46" max="47" width="8.140625" style="1" hidden="1" customWidth="1" outlineLevel="1"/>
    <col min="48" max="48" width="8.140625" style="1" customWidth="1" collapsed="1"/>
    <col min="49" max="50" width="8.140625" style="1" hidden="1" customWidth="1" outlineLevel="1"/>
    <col min="51" max="51" width="8.140625" style="1" customWidth="1" collapsed="1"/>
    <col min="52" max="53" width="8.140625" style="1" hidden="1" customWidth="1" outlineLevel="1"/>
    <col min="54" max="54" width="8.140625" style="1" customWidth="1" collapsed="1"/>
    <col min="55" max="55" width="8.140625" style="1" customWidth="1"/>
    <col min="56" max="56" width="8.140625" style="1" hidden="1" customWidth="1" outlineLevel="1"/>
    <col min="57" max="57" width="9.5703125" style="1" hidden="1" customWidth="1" outlineLevel="1"/>
    <col min="58" max="58" width="9.5703125" style="1" hidden="1" customWidth="1" outlineLevel="2"/>
    <col min="59" max="59" width="9.7109375" style="1" hidden="1" customWidth="1" outlineLevel="2"/>
    <col min="60" max="60" width="9.7109375" style="1" customWidth="1" collapsed="1"/>
    <col min="61" max="61" width="6" style="1" bestFit="1" customWidth="1"/>
    <col min="62" max="62" width="9" style="1" customWidth="1"/>
    <col min="63" max="63" width="9" style="1" hidden="1" customWidth="1" outlineLevel="1"/>
    <col min="64" max="64" width="8.140625" style="1" bestFit="1" customWidth="1" collapsed="1"/>
    <col min="65" max="16384" width="9.140625" style="1"/>
  </cols>
  <sheetData>
    <row r="1" spans="2:70" x14ac:dyDescent="0.15">
      <c r="AP1" s="3"/>
    </row>
    <row r="2" spans="2:70" x14ac:dyDescent="0.15">
      <c r="B2" s="4" t="s">
        <v>0</v>
      </c>
      <c r="Y2" s="4" t="s">
        <v>1</v>
      </c>
      <c r="AU2" s="5"/>
      <c r="AV2" s="5" t="s">
        <v>2</v>
      </c>
    </row>
    <row r="3" spans="2:70" ht="42" x14ac:dyDescent="0.15">
      <c r="B3" s="6" t="s">
        <v>3</v>
      </c>
      <c r="C3" s="7" t="s">
        <v>4</v>
      </c>
      <c r="D3" s="8" t="s">
        <v>5</v>
      </c>
      <c r="E3" s="8" t="s">
        <v>6</v>
      </c>
      <c r="F3" s="7" t="s">
        <v>7</v>
      </c>
      <c r="G3" s="8" t="s">
        <v>8</v>
      </c>
      <c r="H3" s="8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7" t="s">
        <v>14</v>
      </c>
      <c r="N3" s="8" t="s">
        <v>15</v>
      </c>
      <c r="O3" s="8" t="s">
        <v>16</v>
      </c>
      <c r="P3" s="8" t="s">
        <v>17</v>
      </c>
      <c r="Q3" s="9" t="s">
        <v>18</v>
      </c>
      <c r="R3" s="7" t="s">
        <v>19</v>
      </c>
      <c r="S3" s="8" t="s">
        <v>20</v>
      </c>
      <c r="T3" s="8" t="s">
        <v>21</v>
      </c>
      <c r="U3" s="7" t="s">
        <v>22</v>
      </c>
      <c r="W3" s="10" t="s">
        <v>4</v>
      </c>
      <c r="X3" s="11" t="s">
        <v>23</v>
      </c>
      <c r="Y3" s="11" t="s">
        <v>6</v>
      </c>
      <c r="Z3" s="10" t="s">
        <v>7</v>
      </c>
      <c r="AA3" s="11" t="s">
        <v>24</v>
      </c>
      <c r="AB3" s="11" t="s">
        <v>9</v>
      </c>
      <c r="AC3" s="10" t="s">
        <v>10</v>
      </c>
      <c r="AD3" s="11" t="s">
        <v>25</v>
      </c>
      <c r="AE3" s="11" t="s">
        <v>12</v>
      </c>
      <c r="AF3" s="11" t="s">
        <v>13</v>
      </c>
      <c r="AG3" s="10" t="s">
        <v>14</v>
      </c>
      <c r="AH3" s="11" t="s">
        <v>26</v>
      </c>
      <c r="AI3" s="11" t="s">
        <v>17</v>
      </c>
      <c r="AJ3" s="11" t="s">
        <v>27</v>
      </c>
      <c r="AK3" s="11" t="s">
        <v>28</v>
      </c>
      <c r="AL3" s="11" t="s">
        <v>29</v>
      </c>
      <c r="AM3" s="11" t="s">
        <v>30</v>
      </c>
      <c r="AN3" s="11" t="s">
        <v>31</v>
      </c>
      <c r="AO3" s="10" t="s">
        <v>19</v>
      </c>
      <c r="AP3" s="11" t="s">
        <v>20</v>
      </c>
      <c r="AQ3" s="11" t="s">
        <v>32</v>
      </c>
      <c r="AR3" s="10" t="s">
        <v>22</v>
      </c>
      <c r="AT3" s="10" t="s">
        <v>4</v>
      </c>
      <c r="AU3" s="11" t="s">
        <v>33</v>
      </c>
      <c r="AV3" s="11" t="s">
        <v>6</v>
      </c>
      <c r="AW3" s="10" t="s">
        <v>7</v>
      </c>
      <c r="AX3" s="11" t="s">
        <v>34</v>
      </c>
      <c r="AY3" s="11" t="s">
        <v>9</v>
      </c>
      <c r="AZ3" s="10" t="s">
        <v>10</v>
      </c>
      <c r="BA3" s="11" t="s">
        <v>35</v>
      </c>
      <c r="BB3" s="11" t="s">
        <v>12</v>
      </c>
      <c r="BC3" s="11" t="s">
        <v>13</v>
      </c>
      <c r="BD3" s="10" t="s">
        <v>14</v>
      </c>
      <c r="BE3" s="11" t="s">
        <v>36</v>
      </c>
      <c r="BF3" s="11" t="s">
        <v>37</v>
      </c>
      <c r="BG3" s="11" t="s">
        <v>38</v>
      </c>
      <c r="BH3" s="11" t="s">
        <v>31</v>
      </c>
      <c r="BI3" s="10" t="s">
        <v>19</v>
      </c>
      <c r="BJ3" s="11" t="s">
        <v>20</v>
      </c>
      <c r="BK3" s="11" t="s">
        <v>32</v>
      </c>
      <c r="BL3" s="10" t="s">
        <v>22</v>
      </c>
      <c r="BN3" s="12" t="s">
        <v>39</v>
      </c>
      <c r="BO3" s="12" t="s">
        <v>39</v>
      </c>
      <c r="BP3" s="12" t="s">
        <v>39</v>
      </c>
      <c r="BQ3" s="12" t="s">
        <v>39</v>
      </c>
    </row>
    <row r="4" spans="2:70" x14ac:dyDescent="0.15">
      <c r="B4" s="1" t="s">
        <v>40</v>
      </c>
      <c r="C4" s="13">
        <v>83.326080873000009</v>
      </c>
      <c r="D4" s="13">
        <v>0</v>
      </c>
      <c r="E4" s="14">
        <f>+SUM(C4:D4)</f>
        <v>83.326080873000009</v>
      </c>
      <c r="F4" s="13">
        <v>107.96378684699999</v>
      </c>
      <c r="G4" s="13">
        <v>11.204344000000001</v>
      </c>
      <c r="H4" s="14">
        <f>+SUM(F4:G4)</f>
        <v>119.168130847</v>
      </c>
      <c r="I4" s="13">
        <v>151.55670385900001</v>
      </c>
      <c r="J4" s="13">
        <v>15.307935000000001</v>
      </c>
      <c r="K4" s="14">
        <f>+SUM(I4:J4)</f>
        <v>166.86463885900002</v>
      </c>
      <c r="L4" s="14">
        <f>+M4+N4</f>
        <v>2.0760853970000022</v>
      </c>
      <c r="M4" s="14">
        <v>1.227900647000002</v>
      </c>
      <c r="N4" s="13">
        <f>+N16</f>
        <v>0.84818475000000004</v>
      </c>
      <c r="O4" s="14">
        <f>+O16</f>
        <v>0.18446536999999999</v>
      </c>
      <c r="P4" s="14">
        <f>+P16</f>
        <v>1.03265012</v>
      </c>
      <c r="Q4" s="13">
        <v>26.512278999999999</v>
      </c>
      <c r="R4" s="15">
        <f>+SUM(E4,H4,K4,M4,P4)</f>
        <v>371.61940134600007</v>
      </c>
      <c r="S4" s="15">
        <f>+SUM(E4,H4,K4,L4)</f>
        <v>371.43493597600002</v>
      </c>
      <c r="T4" s="15">
        <f>+SUM(C4:D4,F4:G4,I4:J4,M4)</f>
        <v>370.58675122600005</v>
      </c>
      <c r="U4" s="16">
        <f>+SUM(C4:D4,F4:G4,I4:J4)</f>
        <v>369.35885057900003</v>
      </c>
      <c r="W4" s="17">
        <v>82.376658053</v>
      </c>
      <c r="X4" s="17">
        <v>0</v>
      </c>
      <c r="Y4" s="18">
        <f>+SUM(W4:X4)</f>
        <v>82.376658053</v>
      </c>
      <c r="Z4" s="17">
        <v>106.10180140800001</v>
      </c>
      <c r="AA4" s="17">
        <v>10.568387159999999</v>
      </c>
      <c r="AB4" s="18">
        <f>+SUM(Z4:AA4)</f>
        <v>116.67018856800001</v>
      </c>
      <c r="AC4" s="17">
        <v>152.011221017</v>
      </c>
      <c r="AD4" s="17">
        <v>15.055231920000002</v>
      </c>
      <c r="AE4" s="18">
        <f>+SUM(AC4:AD4)</f>
        <v>167.06645293700001</v>
      </c>
      <c r="AF4" s="18">
        <f>+AG4+AH4</f>
        <v>9.6429957829999999</v>
      </c>
      <c r="AG4" s="18">
        <v>8.7540537829999998</v>
      </c>
      <c r="AH4" s="18">
        <v>0.88894200000000001</v>
      </c>
      <c r="AI4" s="19">
        <v>-7.9283083230000004</v>
      </c>
      <c r="AJ4" s="18">
        <f>+AI4-AH4</f>
        <v>-8.8172503229999997</v>
      </c>
      <c r="AK4" s="19">
        <v>35.490909726999995</v>
      </c>
      <c r="AL4" s="19">
        <f>-X4-AA4-AD4</f>
        <v>-25.623619080000001</v>
      </c>
      <c r="AM4" s="18">
        <f>+SUM(AK4:AL4)</f>
        <v>9.8672906469999937</v>
      </c>
      <c r="AN4" s="18">
        <f>+AJ4+AM4</f>
        <v>1.050040323999994</v>
      </c>
      <c r="AO4" s="20">
        <f>+SUM(AM4,AI4,AG4,AE4,AB4,Y4)</f>
        <v>376.80633566500001</v>
      </c>
      <c r="AP4" s="20">
        <f>+SUM(AG4,AE4,AB4,Y4,AH4)</f>
        <v>375.756295341</v>
      </c>
      <c r="AQ4" s="20">
        <f>+SUM(W4:X4,Z4:AA4,AC4:AD4,AG4)</f>
        <v>374.86735334100001</v>
      </c>
      <c r="AR4" s="21">
        <f>+SUM(W4:X4,Z4:AA4,AC4:AD4)</f>
        <v>366.11329955799999</v>
      </c>
      <c r="AT4" s="17">
        <f>+IF(W4&lt;&gt;0,W4-C4,0)</f>
        <v>-0.94942282000000944</v>
      </c>
      <c r="AU4" s="17">
        <f>+IF(X4&lt;&gt;0,X4-D4,0)</f>
        <v>0</v>
      </c>
      <c r="AV4" s="18">
        <f>+IF(Y4&lt;&gt;0,Y4-E4,0)</f>
        <v>-0.94942282000000944</v>
      </c>
      <c r="AW4" s="17">
        <f>+IF(Z4&lt;&gt;0,Z4-F4,0)</f>
        <v>-1.8619854389999801</v>
      </c>
      <c r="AX4" s="17">
        <f>+IF(AA4&lt;&gt;0,AA4-G4,0)</f>
        <v>-0.63595684000000219</v>
      </c>
      <c r="AY4" s="18">
        <f>+IF(AB4&lt;&gt;0,AB4-H4,0)</f>
        <v>-2.4979422789999859</v>
      </c>
      <c r="AZ4" s="17">
        <f>+IF(AC4&lt;&gt;0,AC4-I4,0)</f>
        <v>0.45451715799998738</v>
      </c>
      <c r="BA4" s="17">
        <f>+IF(AD4&lt;&gt;0,AD4-J4,0)</f>
        <v>-0.25270307999999808</v>
      </c>
      <c r="BB4" s="18">
        <f>+IF(AE4&lt;&gt;0,AE4-K4,0)</f>
        <v>0.20181407799998397</v>
      </c>
      <c r="BC4" s="18">
        <f>+BD4+BE4</f>
        <v>7.5669103859999982</v>
      </c>
      <c r="BD4" s="18">
        <f>+IF(AG4&lt;&gt;0,AG4-M4,0)</f>
        <v>7.5261531359999978</v>
      </c>
      <c r="BE4" s="18">
        <f>+IF(AH4&lt;&gt;0,AH4-N4,0)</f>
        <v>4.0757249999999967E-2</v>
      </c>
      <c r="BF4" s="18">
        <f>+IF(AI4&lt;&gt;0,-O4,0)</f>
        <v>-0.18446536999999999</v>
      </c>
      <c r="BG4" s="18">
        <f>+SUM(AJ4,AM4)</f>
        <v>1.050040323999994</v>
      </c>
      <c r="BH4" s="18">
        <f>+BF4+BG4</f>
        <v>0.86557495399999407</v>
      </c>
      <c r="BI4" s="22">
        <f>+IF(AO4&lt;&gt;0,AO4-R4,0)</f>
        <v>5.1869343189999313</v>
      </c>
      <c r="BJ4" s="22">
        <f>+IF(AP4&lt;&gt;0,AP4-S4,0)</f>
        <v>4.321359364999978</v>
      </c>
      <c r="BK4" s="22">
        <f>+IF(AQ4&lt;&gt;0,AQ4-T4,0)</f>
        <v>4.2806021149999651</v>
      </c>
      <c r="BL4" s="21">
        <f>+IF(AR4&lt;&gt;0,AR4-U4,0)</f>
        <v>-3.2455510210000398</v>
      </c>
      <c r="BN4" s="23">
        <f t="shared" ref="BN4:BN20" si="0">+SUM(AV4,AY4,BB4,BD4,BG4,BE4,BF4)-BI4</f>
        <v>4.9737991503207013E-14</v>
      </c>
      <c r="BO4" s="23">
        <f>+SUM(AT4:AU4,AW4:AX4,AZ4:BA4)-BL4</f>
        <v>3.730349362740526E-14</v>
      </c>
      <c r="BP4" s="24">
        <v>0</v>
      </c>
      <c r="BQ4" s="24">
        <v>0</v>
      </c>
      <c r="BR4" s="14"/>
    </row>
    <row r="5" spans="2:70" x14ac:dyDescent="0.15">
      <c r="B5" s="1" t="s">
        <v>41</v>
      </c>
      <c r="C5" s="13">
        <v>88.099986339000012</v>
      </c>
      <c r="D5" s="13">
        <v>0</v>
      </c>
      <c r="E5" s="14">
        <f t="shared" ref="E5:E7" si="1">+SUM(C5:D5)</f>
        <v>88.099986339000012</v>
      </c>
      <c r="F5" s="13">
        <v>111.640661765</v>
      </c>
      <c r="G5" s="13">
        <v>13.690827000000001</v>
      </c>
      <c r="H5" s="14">
        <f t="shared" ref="H5:H7" si="2">+SUM(F5:G5)</f>
        <v>125.331488765</v>
      </c>
      <c r="I5" s="13">
        <v>158.54918983000005</v>
      </c>
      <c r="J5" s="13">
        <v>19.604892</v>
      </c>
      <c r="K5" s="14">
        <f t="shared" ref="K5:K7" si="3">+SUM(I5:J5)</f>
        <v>178.15408183000005</v>
      </c>
      <c r="L5" s="14">
        <f t="shared" ref="L5:L7" si="4">+M5+N5</f>
        <v>3.1710878039999999</v>
      </c>
      <c r="M5" s="14">
        <v>2.3229030539999997</v>
      </c>
      <c r="N5" s="13">
        <f t="shared" ref="N5:P7" si="5">+N17</f>
        <v>0.84818475000000004</v>
      </c>
      <c r="O5" s="14">
        <f t="shared" si="5"/>
        <v>0.13271537</v>
      </c>
      <c r="P5" s="14">
        <f t="shared" si="5"/>
        <v>0.98090012000000004</v>
      </c>
      <c r="Q5" s="13">
        <v>33.295718999999998</v>
      </c>
      <c r="R5" s="15">
        <f>+SUM(E5,H5,K5,M5,P5)</f>
        <v>394.88936010800006</v>
      </c>
      <c r="S5" s="15">
        <f t="shared" ref="S5:S8" si="6">+SUM(E5,H5,K5,L5)</f>
        <v>394.75664473800009</v>
      </c>
      <c r="T5" s="15">
        <f>+SUM(C5:D5,F5:G5,I5:J5,M5)</f>
        <v>393.90845998800006</v>
      </c>
      <c r="U5" s="16">
        <f>+SUM(C5:D5,F5:G5,I5:J5)</f>
        <v>391.58555693400007</v>
      </c>
      <c r="W5" s="17">
        <v>0</v>
      </c>
      <c r="X5" s="17">
        <v>0</v>
      </c>
      <c r="Y5" s="18">
        <f t="shared" ref="Y5:Y7" si="7">+SUM(W5:X5)</f>
        <v>0</v>
      </c>
      <c r="Z5" s="17">
        <v>0</v>
      </c>
      <c r="AA5" s="17"/>
      <c r="AB5" s="18">
        <f t="shared" ref="AB5:AB7" si="8">+SUM(Z5:AA5)</f>
        <v>0</v>
      </c>
      <c r="AC5" s="17">
        <v>0</v>
      </c>
      <c r="AD5" s="17"/>
      <c r="AE5" s="18">
        <f t="shared" ref="AE5:AE7" si="9">+SUM(AC5:AD5)</f>
        <v>0</v>
      </c>
      <c r="AF5" s="18">
        <f t="shared" ref="AF5:AF7" si="10">+AG5+AH5</f>
        <v>0</v>
      </c>
      <c r="AG5" s="18">
        <v>0</v>
      </c>
      <c r="AH5" s="18">
        <v>0</v>
      </c>
      <c r="AI5" s="19">
        <v>0</v>
      </c>
      <c r="AJ5" s="18">
        <f t="shared" ref="AJ5:AJ7" si="11">+AI5-AH5</f>
        <v>0</v>
      </c>
      <c r="AK5" s="19">
        <v>0</v>
      </c>
      <c r="AL5" s="19">
        <f>-X5-AA5-AD5</f>
        <v>0</v>
      </c>
      <c r="AM5" s="18">
        <f t="shared" ref="AM5:AM7" si="12">+SUM(AK5:AL5)</f>
        <v>0</v>
      </c>
      <c r="AN5" s="18">
        <f t="shared" ref="AN5:AN8" si="13">+AJ5+AM5</f>
        <v>0</v>
      </c>
      <c r="AO5" s="20">
        <f t="shared" ref="AO5:AO7" si="14">+SUM(AM5,AI5,AG5,AE5,AB5,Y5)</f>
        <v>0</v>
      </c>
      <c r="AP5" s="20">
        <f t="shared" ref="AP5:AP8" si="15">+SUM(AG5,AE5,AB5,Y5,AH5)</f>
        <v>0</v>
      </c>
      <c r="AQ5" s="20">
        <f t="shared" ref="AQ5:AQ8" si="16">+SUM(W5:X5,Z5:AA5,AC5:AD5,AG5)</f>
        <v>0</v>
      </c>
      <c r="AR5" s="21">
        <f t="shared" ref="AR5:AR8" si="17">+SUM(W5:X5,Z5:AA5,AC5:AD5)</f>
        <v>0</v>
      </c>
      <c r="AT5" s="17">
        <f>+IF(W5&lt;&gt;0,W5-C5,0)</f>
        <v>0</v>
      </c>
      <c r="AU5" s="17">
        <f>+IF(X5&lt;&gt;0,X5-D5,0)</f>
        <v>0</v>
      </c>
      <c r="AV5" s="18">
        <f>+IF(Y5&lt;&gt;0,Y5-E5,0)</f>
        <v>0</v>
      </c>
      <c r="AW5" s="17">
        <f>+IF(Z5&lt;&gt;0,Z5-F5,0)</f>
        <v>0</v>
      </c>
      <c r="AX5" s="17">
        <f>+IF(AA5&lt;&gt;0,AA5-G5,0)</f>
        <v>0</v>
      </c>
      <c r="AY5" s="18">
        <f>+IF(AB5&lt;&gt;0,AB5-H5,0)</f>
        <v>0</v>
      </c>
      <c r="AZ5" s="17">
        <f>+IF(AC5&lt;&gt;0,AC5-I5,0)</f>
        <v>0</v>
      </c>
      <c r="BA5" s="17">
        <f>+IF(AD5&lt;&gt;0,AD5-J5,0)</f>
        <v>0</v>
      </c>
      <c r="BB5" s="18">
        <f>+IF(AE5&lt;&gt;0,AE5-K5,0)</f>
        <v>0</v>
      </c>
      <c r="BC5" s="18">
        <f t="shared" ref="BC5:BC7" si="18">+BD5+BE5</f>
        <v>0</v>
      </c>
      <c r="BD5" s="18">
        <f>+IF(AG5&lt;&gt;0,AG5-M5,0)</f>
        <v>0</v>
      </c>
      <c r="BE5" s="18">
        <f t="shared" ref="BE5:BE7" si="19">+IF(AH5&lt;&gt;0,AH5-N5,0)</f>
        <v>0</v>
      </c>
      <c r="BF5" s="18">
        <f>+IF(AI5&lt;&gt;0,-O5,0)</f>
        <v>0</v>
      </c>
      <c r="BG5" s="18">
        <f t="shared" ref="BG5:BG7" si="20">+SUM(AJ5,AM5)</f>
        <v>0</v>
      </c>
      <c r="BH5" s="18">
        <f t="shared" ref="BH5:BH7" si="21">+BF5+BG5</f>
        <v>0</v>
      </c>
      <c r="BI5" s="22">
        <f>+IF(AO5&lt;&gt;0,AO5-R5,0)</f>
        <v>0</v>
      </c>
      <c r="BJ5" s="22">
        <f t="shared" ref="BJ5:BJ7" si="22">+IF(AP5&lt;&gt;0,AP5-S5,0)</f>
        <v>0</v>
      </c>
      <c r="BK5" s="22">
        <f>+IF(AQ5&lt;&gt;0,AQ5-T5,0)</f>
        <v>0</v>
      </c>
      <c r="BL5" s="21">
        <f>+IF(AR5&lt;&gt;0,AR5-U5,0)</f>
        <v>0</v>
      </c>
      <c r="BN5" s="23">
        <f t="shared" si="0"/>
        <v>0</v>
      </c>
      <c r="BO5" s="23">
        <f>+SUM(AT5:AU5,AW5:AX5,AZ5:BA5)-BL5</f>
        <v>0</v>
      </c>
      <c r="BP5" s="24">
        <v>0</v>
      </c>
      <c r="BQ5" s="24">
        <v>0</v>
      </c>
    </row>
    <row r="6" spans="2:70" x14ac:dyDescent="0.15">
      <c r="B6" s="1" t="s">
        <v>42</v>
      </c>
      <c r="C6" s="13">
        <v>91.988054907000006</v>
      </c>
      <c r="D6" s="13">
        <v>0</v>
      </c>
      <c r="E6" s="14">
        <f t="shared" si="1"/>
        <v>91.988054907000006</v>
      </c>
      <c r="F6" s="13">
        <v>114.84185175499999</v>
      </c>
      <c r="G6" s="13">
        <v>13.690827000000001</v>
      </c>
      <c r="H6" s="14">
        <f t="shared" si="2"/>
        <v>128.53267875500001</v>
      </c>
      <c r="I6" s="13">
        <v>163.08800523100004</v>
      </c>
      <c r="J6" s="13">
        <v>19.604892</v>
      </c>
      <c r="K6" s="14">
        <f t="shared" si="3"/>
        <v>182.69289723100005</v>
      </c>
      <c r="L6" s="14">
        <f t="shared" si="4"/>
        <v>3.1976674070000017</v>
      </c>
      <c r="M6" s="14">
        <v>2.3494826570000016</v>
      </c>
      <c r="N6" s="13">
        <f t="shared" si="5"/>
        <v>0.84818475000000004</v>
      </c>
      <c r="O6" s="14">
        <f t="shared" si="5"/>
        <v>9.7680369999999989E-2</v>
      </c>
      <c r="P6" s="14">
        <f t="shared" si="5"/>
        <v>0.94586512</v>
      </c>
      <c r="Q6" s="13">
        <v>33.295718999999998</v>
      </c>
      <c r="R6" s="15">
        <f>+SUM(E6,H6,K6,M6,P6)</f>
        <v>406.50897867000009</v>
      </c>
      <c r="S6" s="15">
        <f t="shared" si="6"/>
        <v>406.41129830000006</v>
      </c>
      <c r="T6" s="15">
        <f>+SUM(C6:D6,F6:G6,I6:J6,M6)</f>
        <v>405.56311355000003</v>
      </c>
      <c r="U6" s="16">
        <f>+SUM(C6:D6,F6:G6,I6:J6)</f>
        <v>403.21363089300002</v>
      </c>
      <c r="W6" s="17">
        <v>0</v>
      </c>
      <c r="X6" s="17">
        <v>0</v>
      </c>
      <c r="Y6" s="18">
        <f t="shared" si="7"/>
        <v>0</v>
      </c>
      <c r="Z6" s="17">
        <v>0</v>
      </c>
      <c r="AA6" s="17"/>
      <c r="AB6" s="18">
        <f t="shared" si="8"/>
        <v>0</v>
      </c>
      <c r="AC6" s="17">
        <v>0</v>
      </c>
      <c r="AD6" s="17"/>
      <c r="AE6" s="18">
        <f t="shared" si="9"/>
        <v>0</v>
      </c>
      <c r="AF6" s="18">
        <f t="shared" si="10"/>
        <v>0</v>
      </c>
      <c r="AG6" s="18">
        <v>0</v>
      </c>
      <c r="AH6" s="18">
        <v>0</v>
      </c>
      <c r="AI6" s="19">
        <v>0</v>
      </c>
      <c r="AJ6" s="18">
        <f t="shared" si="11"/>
        <v>0</v>
      </c>
      <c r="AK6" s="19">
        <v>0</v>
      </c>
      <c r="AL6" s="19">
        <f>-X6-AA6-AD6</f>
        <v>0</v>
      </c>
      <c r="AM6" s="18">
        <f t="shared" si="12"/>
        <v>0</v>
      </c>
      <c r="AN6" s="18">
        <f t="shared" si="13"/>
        <v>0</v>
      </c>
      <c r="AO6" s="20">
        <f t="shared" si="14"/>
        <v>0</v>
      </c>
      <c r="AP6" s="20">
        <f t="shared" si="15"/>
        <v>0</v>
      </c>
      <c r="AQ6" s="20">
        <f t="shared" si="16"/>
        <v>0</v>
      </c>
      <c r="AR6" s="21">
        <f t="shared" si="17"/>
        <v>0</v>
      </c>
      <c r="AT6" s="17">
        <f>+IF(W6&lt;&gt;0,W6-C6,0)</f>
        <v>0</v>
      </c>
      <c r="AU6" s="17">
        <f>+IF(X6&lt;&gt;0,X6-D6,0)</f>
        <v>0</v>
      </c>
      <c r="AV6" s="18">
        <f>+IF(Y6&lt;&gt;0,Y6-E6,0)</f>
        <v>0</v>
      </c>
      <c r="AW6" s="17">
        <f>+IF(Z6&lt;&gt;0,Z6-F6,0)</f>
        <v>0</v>
      </c>
      <c r="AX6" s="17">
        <f>+IF(AA6&lt;&gt;0,AA6-G6,0)</f>
        <v>0</v>
      </c>
      <c r="AY6" s="18">
        <f>+IF(AB6&lt;&gt;0,AB6-H6,0)</f>
        <v>0</v>
      </c>
      <c r="AZ6" s="17">
        <f>+IF(AC6&lt;&gt;0,AC6-I6,0)</f>
        <v>0</v>
      </c>
      <c r="BA6" s="17">
        <f>+IF(AD6&lt;&gt;0,AD6-J6,0)</f>
        <v>0</v>
      </c>
      <c r="BB6" s="18">
        <f>+IF(AE6&lt;&gt;0,AE6-K6,0)</f>
        <v>0</v>
      </c>
      <c r="BC6" s="18">
        <f t="shared" si="18"/>
        <v>0</v>
      </c>
      <c r="BD6" s="18">
        <f>+IF(AG6&lt;&gt;0,AG6-M6,0)</f>
        <v>0</v>
      </c>
      <c r="BE6" s="18">
        <f t="shared" si="19"/>
        <v>0</v>
      </c>
      <c r="BF6" s="18">
        <f>+IF(AI6&lt;&gt;0,-O6,0)</f>
        <v>0</v>
      </c>
      <c r="BG6" s="18">
        <f t="shared" si="20"/>
        <v>0</v>
      </c>
      <c r="BH6" s="18">
        <f t="shared" si="21"/>
        <v>0</v>
      </c>
      <c r="BI6" s="22">
        <f>+IF(AO6&lt;&gt;0,AO6-R6,0)</f>
        <v>0</v>
      </c>
      <c r="BJ6" s="22">
        <f t="shared" si="22"/>
        <v>0</v>
      </c>
      <c r="BK6" s="22">
        <f>+IF(AQ6&lt;&gt;0,AQ6-T6,0)</f>
        <v>0</v>
      </c>
      <c r="BL6" s="21">
        <f>+IF(AR6&lt;&gt;0,AR6-U6,0)</f>
        <v>0</v>
      </c>
      <c r="BN6" s="23">
        <f t="shared" si="0"/>
        <v>0</v>
      </c>
      <c r="BO6" s="23">
        <f>+SUM(AT6:AU6,AW6:AX6,AZ6:BA6)-BL6</f>
        <v>0</v>
      </c>
      <c r="BP6" s="24">
        <v>0</v>
      </c>
      <c r="BQ6" s="24">
        <v>0</v>
      </c>
    </row>
    <row r="7" spans="2:70" x14ac:dyDescent="0.15">
      <c r="B7" s="1" t="s">
        <v>43</v>
      </c>
      <c r="C7" s="13">
        <v>87.609122401999997</v>
      </c>
      <c r="D7" s="13">
        <v>0</v>
      </c>
      <c r="E7" s="14">
        <f t="shared" si="1"/>
        <v>87.609122401999997</v>
      </c>
      <c r="F7" s="13">
        <v>112.268578852</v>
      </c>
      <c r="G7" s="13">
        <v>12.934041000000001</v>
      </c>
      <c r="H7" s="14">
        <f t="shared" si="2"/>
        <v>125.202619852</v>
      </c>
      <c r="I7" s="13">
        <v>160.712916256</v>
      </c>
      <c r="J7" s="13">
        <v>19.604892</v>
      </c>
      <c r="K7" s="14">
        <f t="shared" si="3"/>
        <v>180.31780825600001</v>
      </c>
      <c r="L7" s="14">
        <f t="shared" si="4"/>
        <v>2.3287532080000029</v>
      </c>
      <c r="M7" s="14">
        <v>1.4805684580000027</v>
      </c>
      <c r="N7" s="13">
        <f t="shared" si="5"/>
        <v>0.84818475000000004</v>
      </c>
      <c r="O7" s="14">
        <f t="shared" si="5"/>
        <v>2.7610369999999999E-2</v>
      </c>
      <c r="P7" s="14">
        <f t="shared" si="5"/>
        <v>0.87579512000000004</v>
      </c>
      <c r="Q7" s="13">
        <v>32.538933</v>
      </c>
      <c r="R7" s="15">
        <f>+SUM(E7,H7,K7,M7,P7)</f>
        <v>395.48591408800002</v>
      </c>
      <c r="S7" s="15">
        <f t="shared" si="6"/>
        <v>395.45830371800002</v>
      </c>
      <c r="T7" s="15">
        <f>+SUM(C7:D7,F7:G7,I7:J7,M7)</f>
        <v>394.61011896799999</v>
      </c>
      <c r="U7" s="16">
        <f>+SUM(C7:D7,F7:G7,I7:J7)</f>
        <v>393.12955051</v>
      </c>
      <c r="W7" s="17">
        <v>0</v>
      </c>
      <c r="X7" s="17">
        <v>0</v>
      </c>
      <c r="Y7" s="18">
        <f t="shared" si="7"/>
        <v>0</v>
      </c>
      <c r="Z7" s="17">
        <v>0</v>
      </c>
      <c r="AA7" s="17"/>
      <c r="AB7" s="18">
        <f t="shared" si="8"/>
        <v>0</v>
      </c>
      <c r="AC7" s="17">
        <v>0</v>
      </c>
      <c r="AD7" s="17"/>
      <c r="AE7" s="18">
        <f t="shared" si="9"/>
        <v>0</v>
      </c>
      <c r="AF7" s="18">
        <f t="shared" si="10"/>
        <v>0</v>
      </c>
      <c r="AG7" s="18">
        <v>0</v>
      </c>
      <c r="AH7" s="18">
        <v>0</v>
      </c>
      <c r="AI7" s="19">
        <v>0</v>
      </c>
      <c r="AJ7" s="18">
        <f t="shared" si="11"/>
        <v>0</v>
      </c>
      <c r="AK7" s="19">
        <v>0</v>
      </c>
      <c r="AL7" s="19">
        <f>-X7-AA7-AD7</f>
        <v>0</v>
      </c>
      <c r="AM7" s="18">
        <f t="shared" si="12"/>
        <v>0</v>
      </c>
      <c r="AN7" s="18">
        <f t="shared" si="13"/>
        <v>0</v>
      </c>
      <c r="AO7" s="20">
        <f t="shared" si="14"/>
        <v>0</v>
      </c>
      <c r="AP7" s="20">
        <f t="shared" si="15"/>
        <v>0</v>
      </c>
      <c r="AQ7" s="20">
        <f t="shared" si="16"/>
        <v>0</v>
      </c>
      <c r="AR7" s="21">
        <f t="shared" si="17"/>
        <v>0</v>
      </c>
      <c r="AT7" s="17">
        <f>+IF(W7&lt;&gt;0,W7-C7,0)</f>
        <v>0</v>
      </c>
      <c r="AU7" s="17">
        <f>+IF(X7&lt;&gt;0,X7-D7,0)</f>
        <v>0</v>
      </c>
      <c r="AV7" s="18">
        <f>+IF(Y7&lt;&gt;0,Y7-E7,0)</f>
        <v>0</v>
      </c>
      <c r="AW7" s="17">
        <f>+IF(Z7&lt;&gt;0,Z7-F7,0)</f>
        <v>0</v>
      </c>
      <c r="AX7" s="17">
        <f>+IF(AA7&lt;&gt;0,AA7-G7,0)</f>
        <v>0</v>
      </c>
      <c r="AY7" s="18">
        <f>+IF(AB7&lt;&gt;0,AB7-H7,0)</f>
        <v>0</v>
      </c>
      <c r="AZ7" s="17">
        <f>+IF(AC7&lt;&gt;0,AC7-I7,0)</f>
        <v>0</v>
      </c>
      <c r="BA7" s="17">
        <f>+IF(AD7&lt;&gt;0,AD7-J7,0)</f>
        <v>0</v>
      </c>
      <c r="BB7" s="18">
        <f>+IF(AE7&lt;&gt;0,AE7-K7,0)</f>
        <v>0</v>
      </c>
      <c r="BC7" s="18">
        <f t="shared" si="18"/>
        <v>0</v>
      </c>
      <c r="BD7" s="18">
        <f>+IF(AG7&lt;&gt;0,AG7-M7,0)</f>
        <v>0</v>
      </c>
      <c r="BE7" s="18">
        <f t="shared" si="19"/>
        <v>0</v>
      </c>
      <c r="BF7" s="18">
        <f>+IF(AI7&lt;&gt;0,-O7,0)</f>
        <v>0</v>
      </c>
      <c r="BG7" s="18">
        <f t="shared" si="20"/>
        <v>0</v>
      </c>
      <c r="BH7" s="18">
        <f t="shared" si="21"/>
        <v>0</v>
      </c>
      <c r="BI7" s="22">
        <f>+IF(AO7&lt;&gt;0,AO7-R7,0)</f>
        <v>0</v>
      </c>
      <c r="BJ7" s="22">
        <f t="shared" si="22"/>
        <v>0</v>
      </c>
      <c r="BK7" s="22">
        <f>+IF(AQ7&lt;&gt;0,AQ7-T7,0)</f>
        <v>0</v>
      </c>
      <c r="BL7" s="21">
        <f>+IF(AR7&lt;&gt;0,AR7-U7,0)</f>
        <v>0</v>
      </c>
      <c r="BN7" s="23">
        <f t="shared" si="0"/>
        <v>0</v>
      </c>
      <c r="BO7" s="23">
        <f>+SUM(AT7:AU7,AW7:AX7,AZ7:BA7)-BL7</f>
        <v>0</v>
      </c>
      <c r="BP7" s="24">
        <v>0</v>
      </c>
      <c r="BQ7" s="24">
        <v>0</v>
      </c>
    </row>
    <row r="8" spans="2:70" x14ac:dyDescent="0.15">
      <c r="B8" s="4" t="s">
        <v>44</v>
      </c>
      <c r="C8" s="25">
        <f>+SUM(C4:C7)</f>
        <v>351.02324452100004</v>
      </c>
      <c r="D8" s="25">
        <f t="shared" ref="D8:Q8" si="23">+SUM(D4:D7)</f>
        <v>0</v>
      </c>
      <c r="E8" s="26">
        <f t="shared" si="23"/>
        <v>351.02324452100004</v>
      </c>
      <c r="F8" s="25">
        <f t="shared" si="23"/>
        <v>446.71487921900001</v>
      </c>
      <c r="G8" s="25">
        <f>+SUM(G4:G7)</f>
        <v>51.520039000000004</v>
      </c>
      <c r="H8" s="26">
        <f t="shared" ref="H8" si="24">+SUM(H4:H7)</f>
        <v>498.23491821900001</v>
      </c>
      <c r="I8" s="25">
        <f t="shared" si="23"/>
        <v>633.90681517600001</v>
      </c>
      <c r="J8" s="25">
        <f>+SUM(J4:J7)</f>
        <v>74.122611000000006</v>
      </c>
      <c r="K8" s="26">
        <f t="shared" ref="K8:L8" si="25">+SUM(K4:K7)</f>
        <v>708.02942617600013</v>
      </c>
      <c r="L8" s="26">
        <f t="shared" si="25"/>
        <v>10.773593816000005</v>
      </c>
      <c r="M8" s="26">
        <f t="shared" si="23"/>
        <v>7.3808548160000065</v>
      </c>
      <c r="N8" s="25">
        <f t="shared" si="23"/>
        <v>3.3927390000000002</v>
      </c>
      <c r="O8" s="26">
        <f t="shared" si="23"/>
        <v>0.44247147999999992</v>
      </c>
      <c r="P8" s="26">
        <f t="shared" si="23"/>
        <v>3.8352104799999998</v>
      </c>
      <c r="Q8" s="25">
        <f t="shared" si="23"/>
        <v>125.64264999999999</v>
      </c>
      <c r="R8" s="15">
        <f>+SUM(E8,H8,K8,M8,P8)</f>
        <v>1568.5036542119999</v>
      </c>
      <c r="S8" s="15">
        <f t="shared" si="6"/>
        <v>1568.0611827319999</v>
      </c>
      <c r="T8" s="15">
        <f>+SUM(C8:D8,F8:G8,I8:J8,M8)</f>
        <v>1564.668443732</v>
      </c>
      <c r="U8" s="16">
        <f>+SUM(C8:D8,F8:G8,I8:J8)</f>
        <v>1557.287588916</v>
      </c>
      <c r="W8" s="27">
        <f>+SUM(W4:W7)</f>
        <v>82.376658053</v>
      </c>
      <c r="X8" s="27">
        <f t="shared" ref="X8:AO8" si="26">+SUM(X4:X7)</f>
        <v>0</v>
      </c>
      <c r="Y8" s="28">
        <f t="shared" si="26"/>
        <v>82.376658053</v>
      </c>
      <c r="Z8" s="27">
        <f t="shared" si="26"/>
        <v>106.10180140800001</v>
      </c>
      <c r="AA8" s="27">
        <f t="shared" si="26"/>
        <v>10.568387159999999</v>
      </c>
      <c r="AB8" s="28">
        <f t="shared" si="26"/>
        <v>116.67018856800001</v>
      </c>
      <c r="AC8" s="27">
        <f t="shared" si="26"/>
        <v>152.011221017</v>
      </c>
      <c r="AD8" s="27">
        <f t="shared" si="26"/>
        <v>15.055231920000002</v>
      </c>
      <c r="AE8" s="28">
        <f t="shared" si="26"/>
        <v>167.06645293700001</v>
      </c>
      <c r="AF8" s="28">
        <f t="shared" si="26"/>
        <v>9.6429957829999999</v>
      </c>
      <c r="AG8" s="28">
        <f t="shared" si="26"/>
        <v>8.7540537829999998</v>
      </c>
      <c r="AH8" s="28">
        <f t="shared" si="26"/>
        <v>0.88894200000000001</v>
      </c>
      <c r="AI8" s="29">
        <f t="shared" si="26"/>
        <v>-7.9283083230000004</v>
      </c>
      <c r="AJ8" s="28">
        <f t="shared" si="26"/>
        <v>-8.8172503229999997</v>
      </c>
      <c r="AK8" s="29">
        <f t="shared" si="26"/>
        <v>35.490909726999995</v>
      </c>
      <c r="AL8" s="29">
        <f t="shared" si="26"/>
        <v>-25.623619080000001</v>
      </c>
      <c r="AM8" s="28">
        <f t="shared" si="26"/>
        <v>9.8672906469999937</v>
      </c>
      <c r="AN8" s="18">
        <f t="shared" si="13"/>
        <v>1.050040323999994</v>
      </c>
      <c r="AO8" s="20">
        <f t="shared" si="26"/>
        <v>376.80633566500001</v>
      </c>
      <c r="AP8" s="20">
        <f t="shared" si="15"/>
        <v>375.756295341</v>
      </c>
      <c r="AQ8" s="20">
        <f t="shared" si="16"/>
        <v>374.86735334100001</v>
      </c>
      <c r="AR8" s="21">
        <f t="shared" si="17"/>
        <v>366.11329955799999</v>
      </c>
      <c r="AT8" s="27">
        <f>+SUM(AT4:AT7)</f>
        <v>-0.94942282000000944</v>
      </c>
      <c r="AU8" s="27">
        <f t="shared" ref="AU8:BF8" si="27">+SUM(AU4:AU7)</f>
        <v>0</v>
      </c>
      <c r="AV8" s="28">
        <f t="shared" si="27"/>
        <v>-0.94942282000000944</v>
      </c>
      <c r="AW8" s="27">
        <f t="shared" si="27"/>
        <v>-1.8619854389999801</v>
      </c>
      <c r="AX8" s="27">
        <f t="shared" si="27"/>
        <v>-0.63595684000000219</v>
      </c>
      <c r="AY8" s="28">
        <f t="shared" si="27"/>
        <v>-2.4979422789999859</v>
      </c>
      <c r="AZ8" s="27">
        <f t="shared" si="27"/>
        <v>0.45451715799998738</v>
      </c>
      <c r="BA8" s="27">
        <f t="shared" si="27"/>
        <v>-0.25270307999999808</v>
      </c>
      <c r="BB8" s="28">
        <f t="shared" si="27"/>
        <v>0.20181407799998397</v>
      </c>
      <c r="BC8" s="28">
        <f t="shared" si="27"/>
        <v>7.5669103859999982</v>
      </c>
      <c r="BD8" s="28">
        <f t="shared" si="27"/>
        <v>7.5261531359999978</v>
      </c>
      <c r="BE8" s="28">
        <f t="shared" si="27"/>
        <v>4.0757249999999967E-2</v>
      </c>
      <c r="BF8" s="28">
        <f t="shared" si="27"/>
        <v>-0.18446536999999999</v>
      </c>
      <c r="BG8" s="28">
        <f>+SUM(BG4:BG7)</f>
        <v>1.050040323999994</v>
      </c>
      <c r="BH8" s="28">
        <f>+SUM(BH4:BH7)</f>
        <v>0.86557495399999407</v>
      </c>
      <c r="BI8" s="22">
        <f t="shared" ref="BI8:BL8" si="28">+SUM(BI4:BI7)</f>
        <v>5.1869343189999313</v>
      </c>
      <c r="BJ8" s="22">
        <f t="shared" si="28"/>
        <v>4.321359364999978</v>
      </c>
      <c r="BK8" s="22">
        <f t="shared" si="28"/>
        <v>4.2806021149999651</v>
      </c>
      <c r="BL8" s="21">
        <f t="shared" si="28"/>
        <v>-3.2455510210000398</v>
      </c>
      <c r="BN8" s="23">
        <f t="shared" si="0"/>
        <v>4.9737991503207013E-14</v>
      </c>
      <c r="BO8" s="23">
        <f>+SUM(AT8:AU8,AW8:AX8,AZ8:BA8)-BL8</f>
        <v>3.730349362740526E-14</v>
      </c>
    </row>
    <row r="9" spans="2:70" x14ac:dyDescent="0.15">
      <c r="W9" s="30"/>
      <c r="X9" s="30"/>
      <c r="Z9" s="30"/>
      <c r="AA9" s="30"/>
      <c r="AC9" s="30"/>
      <c r="AD9" s="30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T9" s="30"/>
      <c r="AU9" s="30"/>
      <c r="AV9" s="2"/>
      <c r="AW9" s="30"/>
      <c r="AX9" s="30"/>
      <c r="AY9" s="2"/>
      <c r="AZ9" s="30"/>
      <c r="BA9" s="30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N9" s="23"/>
      <c r="BO9" s="23"/>
    </row>
    <row r="10" spans="2:70" x14ac:dyDescent="0.15">
      <c r="B10" s="1" t="s">
        <v>40</v>
      </c>
      <c r="C10" s="13">
        <f>+C16-C4</f>
        <v>1.8529840000000064</v>
      </c>
      <c r="D10" s="13"/>
      <c r="E10" s="14">
        <f>+SUM(C10:D10)</f>
        <v>1.8529840000000064</v>
      </c>
      <c r="F10" s="13">
        <f>+F16-F4</f>
        <v>2.5747949999999946</v>
      </c>
      <c r="G10" s="13"/>
      <c r="H10" s="14">
        <f>+SUM(F10:G10)</f>
        <v>2.5747949999999946</v>
      </c>
      <c r="I10" s="13">
        <f>+I16-I4</f>
        <v>3.5697490000000016</v>
      </c>
      <c r="J10" s="13"/>
      <c r="K10" s="14">
        <f>+SUM(I10:J10)</f>
        <v>3.5697490000000016</v>
      </c>
      <c r="L10" s="14">
        <f t="shared" ref="L10:L13" si="29">+M10+N10</f>
        <v>0</v>
      </c>
      <c r="M10" s="14">
        <v>0</v>
      </c>
      <c r="N10" s="13">
        <v>0</v>
      </c>
      <c r="O10" s="14">
        <v>0</v>
      </c>
      <c r="P10" s="14">
        <v>0</v>
      </c>
      <c r="Q10" s="13">
        <f>+Q16-Q4</f>
        <v>0</v>
      </c>
      <c r="R10" s="15">
        <f>+SUM(E10,H10,K10,M10,P10)</f>
        <v>7.9975280000000026</v>
      </c>
      <c r="S10" s="15">
        <f t="shared" ref="S10:S14" si="30">+SUM(E10,H10,K10,L10)</f>
        <v>7.9975280000000026</v>
      </c>
      <c r="T10" s="15">
        <f>+SUM(C10:D10,F10:G10,I10:J10,M10)</f>
        <v>7.9975280000000026</v>
      </c>
      <c r="U10" s="16">
        <f>+SUM(C10:D10,F10:G10,I10:J10)</f>
        <v>7.9975280000000026</v>
      </c>
      <c r="W10" s="31"/>
      <c r="X10" s="31"/>
      <c r="Y10" s="32"/>
      <c r="Z10" s="31"/>
      <c r="AA10" s="31"/>
      <c r="AB10" s="32"/>
      <c r="AC10" s="31"/>
      <c r="AD10" s="31"/>
      <c r="AE10" s="32"/>
      <c r="AF10" s="32"/>
      <c r="AG10" s="32"/>
      <c r="AH10" s="32"/>
      <c r="AI10" s="33"/>
      <c r="AJ10" s="32"/>
      <c r="AK10" s="33"/>
      <c r="AL10" s="33"/>
      <c r="AM10" s="32"/>
      <c r="AN10" s="32"/>
      <c r="AO10" s="34"/>
      <c r="AP10" s="34"/>
      <c r="AQ10" s="34"/>
      <c r="AR10" s="35"/>
      <c r="AT10" s="36">
        <f>+IF(W10&lt;&gt;0,W10-C10,0)</f>
        <v>0</v>
      </c>
      <c r="AU10" s="36" t="s">
        <v>45</v>
      </c>
      <c r="AV10" s="37">
        <f>+IF(Y10&lt;&gt;0,Y10-E10,0)</f>
        <v>0</v>
      </c>
      <c r="AW10" s="36">
        <f>+IF(Z10&lt;&gt;0,Z10-F10,0)</f>
        <v>0</v>
      </c>
      <c r="AX10" s="36" t="s">
        <v>45</v>
      </c>
      <c r="AY10" s="37">
        <f>+IF(AB10&lt;&gt;0,AB10-H10,0)</f>
        <v>0</v>
      </c>
      <c r="AZ10" s="36">
        <f>+IF(AC10&lt;&gt;0,AC10-I10,0)</f>
        <v>0</v>
      </c>
      <c r="BA10" s="36" t="s">
        <v>45</v>
      </c>
      <c r="BB10" s="37">
        <f>+IF(AE10&lt;&gt;0,AE10-K10,0)</f>
        <v>0</v>
      </c>
      <c r="BC10" s="37"/>
      <c r="BD10" s="37">
        <f>+IF(AG10&lt;&gt;0,AG10-M10,0)</f>
        <v>0</v>
      </c>
      <c r="BE10" s="37"/>
      <c r="BF10" s="37"/>
      <c r="BG10" s="37">
        <f>+IF((AI10+AM10)&lt;&gt;0,AI10+AM10-P10,0)</f>
        <v>0</v>
      </c>
      <c r="BH10" s="37"/>
      <c r="BI10" s="38">
        <f>+IF(AO10&lt;&gt;0,AO10-R10,0)</f>
        <v>0</v>
      </c>
      <c r="BJ10" s="38"/>
      <c r="BK10" s="38"/>
      <c r="BL10" s="39">
        <f t="shared" ref="BL10:BL13" si="31">+IF(AR10&lt;&gt;0,AR10-U10,0)</f>
        <v>0</v>
      </c>
      <c r="BN10" s="23">
        <f t="shared" si="0"/>
        <v>0</v>
      </c>
      <c r="BO10" s="23">
        <f>+SUM(AT10:AU10,AW10:AX10,AZ10:BA10)-BL10</f>
        <v>0</v>
      </c>
    </row>
    <row r="11" spans="2:70" x14ac:dyDescent="0.15">
      <c r="B11" s="1" t="s">
        <v>41</v>
      </c>
      <c r="C11" s="13">
        <f>+C17-C5</f>
        <v>1.7277890000000014</v>
      </c>
      <c r="D11" s="13"/>
      <c r="E11" s="14">
        <f t="shared" ref="E11:E13" si="32">+SUM(C11:D11)</f>
        <v>1.7277890000000014</v>
      </c>
      <c r="F11" s="13">
        <f>+F17-F5</f>
        <v>2.4195619999999991</v>
      </c>
      <c r="G11" s="13"/>
      <c r="H11" s="14">
        <f t="shared" ref="H11:H13" si="33">+SUM(F11:G11)</f>
        <v>2.4195619999999991</v>
      </c>
      <c r="I11" s="13">
        <f>+I17-I5</f>
        <v>3.5582449999999994</v>
      </c>
      <c r="J11" s="13"/>
      <c r="K11" s="14">
        <f t="shared" ref="K11:K13" si="34">+SUM(I11:J11)</f>
        <v>3.5582449999999994</v>
      </c>
      <c r="L11" s="14">
        <f t="shared" si="29"/>
        <v>0</v>
      </c>
      <c r="M11" s="14">
        <v>0</v>
      </c>
      <c r="N11" s="13">
        <v>0</v>
      </c>
      <c r="O11" s="14">
        <v>0</v>
      </c>
      <c r="P11" s="14">
        <v>0</v>
      </c>
      <c r="Q11" s="13">
        <f>+Q17-Q5</f>
        <v>0</v>
      </c>
      <c r="R11" s="15">
        <f>+SUM(E11,H11,K11,M11,P11)</f>
        <v>7.7055959999999999</v>
      </c>
      <c r="S11" s="15">
        <f t="shared" si="30"/>
        <v>7.7055959999999999</v>
      </c>
      <c r="T11" s="15">
        <f>+SUM(C11:D11,F11:G11,I11:J11,M11)</f>
        <v>7.7055959999999999</v>
      </c>
      <c r="U11" s="16">
        <f>+SUM(C11:D11,F11:G11,I11:J11)</f>
        <v>7.7055959999999999</v>
      </c>
      <c r="W11" s="31"/>
      <c r="X11" s="31"/>
      <c r="Y11" s="32"/>
      <c r="Z11" s="31"/>
      <c r="AA11" s="31"/>
      <c r="AB11" s="32"/>
      <c r="AC11" s="31"/>
      <c r="AD11" s="31"/>
      <c r="AE11" s="32"/>
      <c r="AF11" s="32"/>
      <c r="AG11" s="32"/>
      <c r="AH11" s="32"/>
      <c r="AI11" s="33"/>
      <c r="AJ11" s="32"/>
      <c r="AK11" s="33"/>
      <c r="AL11" s="33"/>
      <c r="AM11" s="32"/>
      <c r="AN11" s="32"/>
      <c r="AO11" s="34"/>
      <c r="AP11" s="34"/>
      <c r="AQ11" s="34"/>
      <c r="AR11" s="35"/>
      <c r="AT11" s="36">
        <f>+IF(W11&lt;&gt;0,W11-C11,0)</f>
        <v>0</v>
      </c>
      <c r="AU11" s="36" t="s">
        <v>45</v>
      </c>
      <c r="AV11" s="37">
        <f>+IF(Y11&lt;&gt;0,Y11-E11,0)</f>
        <v>0</v>
      </c>
      <c r="AW11" s="36">
        <f>+IF(Z11&lt;&gt;0,Z11-F11,0)</f>
        <v>0</v>
      </c>
      <c r="AX11" s="36" t="s">
        <v>45</v>
      </c>
      <c r="AY11" s="37">
        <f>+IF(AB11&lt;&gt;0,AB11-H11,0)</f>
        <v>0</v>
      </c>
      <c r="AZ11" s="36">
        <f>+IF(AC11&lt;&gt;0,AC11-I11,0)</f>
        <v>0</v>
      </c>
      <c r="BA11" s="36" t="s">
        <v>45</v>
      </c>
      <c r="BB11" s="37">
        <f>+IF(AE11&lt;&gt;0,AE11-K11,0)</f>
        <v>0</v>
      </c>
      <c r="BC11" s="37"/>
      <c r="BD11" s="37">
        <f>+IF(AG11&lt;&gt;0,AG11-M11,0)</f>
        <v>0</v>
      </c>
      <c r="BE11" s="37"/>
      <c r="BF11" s="37"/>
      <c r="BG11" s="37">
        <f t="shared" ref="BG11:BG13" si="35">+IF((AI11+AM11)&lt;&gt;0,AI11+AM11-P11,0)</f>
        <v>0</v>
      </c>
      <c r="BH11" s="37"/>
      <c r="BI11" s="38">
        <f>+IF(AO11&lt;&gt;0,AO11-R11,0)</f>
        <v>0</v>
      </c>
      <c r="BJ11" s="38"/>
      <c r="BK11" s="38"/>
      <c r="BL11" s="39">
        <f t="shared" si="31"/>
        <v>0</v>
      </c>
      <c r="BN11" s="23">
        <f t="shared" si="0"/>
        <v>0</v>
      </c>
      <c r="BO11" s="23">
        <f>+SUM(AT11:AU11,AW11:AX11,AZ11:BA11)-BL11</f>
        <v>0</v>
      </c>
    </row>
    <row r="12" spans="2:70" x14ac:dyDescent="0.15">
      <c r="B12" s="1" t="s">
        <v>42</v>
      </c>
      <c r="C12" s="13">
        <f>+C18-C6</f>
        <v>1.7352539999999976</v>
      </c>
      <c r="D12" s="13"/>
      <c r="E12" s="14">
        <f t="shared" si="32"/>
        <v>1.7352539999999976</v>
      </c>
      <c r="F12" s="13">
        <f>+F18-F6</f>
        <v>2.419700000000006</v>
      </c>
      <c r="G12" s="13"/>
      <c r="H12" s="14">
        <f t="shared" si="33"/>
        <v>2.419700000000006</v>
      </c>
      <c r="I12" s="13">
        <f>+I18-I6</f>
        <v>3.5721010000000035</v>
      </c>
      <c r="J12" s="13"/>
      <c r="K12" s="14">
        <f t="shared" si="34"/>
        <v>3.5721010000000035</v>
      </c>
      <c r="L12" s="14">
        <f t="shared" si="29"/>
        <v>0</v>
      </c>
      <c r="M12" s="14">
        <v>0</v>
      </c>
      <c r="N12" s="13">
        <v>0</v>
      </c>
      <c r="O12" s="14">
        <v>0</v>
      </c>
      <c r="P12" s="14">
        <v>0</v>
      </c>
      <c r="Q12" s="13">
        <f>+Q18-Q6</f>
        <v>0</v>
      </c>
      <c r="R12" s="15">
        <f>+SUM(E12,H12,K12,M12,P12)</f>
        <v>7.7270550000000071</v>
      </c>
      <c r="S12" s="15">
        <f t="shared" si="30"/>
        <v>7.7270550000000071</v>
      </c>
      <c r="T12" s="15">
        <f>+SUM(C12:D12,F12:G12,I12:J12,M12)</f>
        <v>7.7270550000000071</v>
      </c>
      <c r="U12" s="16">
        <f>+SUM(C12:D12,F12:G12,I12:J12)</f>
        <v>7.7270550000000071</v>
      </c>
      <c r="W12" s="31"/>
      <c r="X12" s="31"/>
      <c r="Y12" s="32"/>
      <c r="Z12" s="31"/>
      <c r="AA12" s="31"/>
      <c r="AB12" s="32"/>
      <c r="AC12" s="31"/>
      <c r="AD12" s="31"/>
      <c r="AE12" s="32"/>
      <c r="AF12" s="32"/>
      <c r="AG12" s="32"/>
      <c r="AH12" s="32"/>
      <c r="AI12" s="33"/>
      <c r="AJ12" s="32"/>
      <c r="AK12" s="33"/>
      <c r="AL12" s="33"/>
      <c r="AM12" s="32"/>
      <c r="AN12" s="32"/>
      <c r="AO12" s="34"/>
      <c r="AP12" s="34"/>
      <c r="AQ12" s="34"/>
      <c r="AR12" s="35"/>
      <c r="AT12" s="36">
        <f>+IF(W12&lt;&gt;0,W12-C12,0)</f>
        <v>0</v>
      </c>
      <c r="AU12" s="36" t="s">
        <v>45</v>
      </c>
      <c r="AV12" s="37">
        <f>+IF(Y12&lt;&gt;0,Y12-E12,0)</f>
        <v>0</v>
      </c>
      <c r="AW12" s="36">
        <f>+IF(Z12&lt;&gt;0,Z12-F12,0)</f>
        <v>0</v>
      </c>
      <c r="AX12" s="36" t="s">
        <v>45</v>
      </c>
      <c r="AY12" s="37">
        <f>+IF(AB12&lt;&gt;0,AB12-H12,0)</f>
        <v>0</v>
      </c>
      <c r="AZ12" s="36">
        <f>+IF(AC12&lt;&gt;0,AC12-I12,0)</f>
        <v>0</v>
      </c>
      <c r="BA12" s="36" t="s">
        <v>45</v>
      </c>
      <c r="BB12" s="37">
        <f>+IF(AE12&lt;&gt;0,AE12-K12,0)</f>
        <v>0</v>
      </c>
      <c r="BC12" s="37"/>
      <c r="BD12" s="37">
        <f>+IF(AG12&lt;&gt;0,AG12-M12,0)</f>
        <v>0</v>
      </c>
      <c r="BE12" s="37"/>
      <c r="BF12" s="37"/>
      <c r="BG12" s="37">
        <f t="shared" si="35"/>
        <v>0</v>
      </c>
      <c r="BH12" s="37"/>
      <c r="BI12" s="38">
        <f>+IF(AO12&lt;&gt;0,AO12-R12,0)</f>
        <v>0</v>
      </c>
      <c r="BJ12" s="38"/>
      <c r="BK12" s="38"/>
      <c r="BL12" s="39">
        <f t="shared" si="31"/>
        <v>0</v>
      </c>
      <c r="BN12" s="23">
        <f t="shared" si="0"/>
        <v>0</v>
      </c>
      <c r="BO12" s="23">
        <f>+SUM(AT12:AU12,AW12:AX12,AZ12:BA12)-BL12</f>
        <v>0</v>
      </c>
    </row>
    <row r="13" spans="2:70" x14ac:dyDescent="0.15">
      <c r="B13" s="1" t="s">
        <v>43</v>
      </c>
      <c r="C13" s="13">
        <f>+C19-C7</f>
        <v>1.7978789999999947</v>
      </c>
      <c r="D13" s="13"/>
      <c r="E13" s="14">
        <f t="shared" si="32"/>
        <v>1.7978789999999947</v>
      </c>
      <c r="F13" s="13">
        <f>+F19-F7</f>
        <v>2.5634279999999876</v>
      </c>
      <c r="G13" s="13"/>
      <c r="H13" s="14">
        <f t="shared" si="33"/>
        <v>2.5634279999999876</v>
      </c>
      <c r="I13" s="13">
        <f>+I19-I7</f>
        <v>3.7048840000000212</v>
      </c>
      <c r="J13" s="13"/>
      <c r="K13" s="14">
        <f t="shared" si="34"/>
        <v>3.7048840000000212</v>
      </c>
      <c r="L13" s="14">
        <f t="shared" si="29"/>
        <v>0</v>
      </c>
      <c r="M13" s="14">
        <v>0</v>
      </c>
      <c r="N13" s="13">
        <v>0</v>
      </c>
      <c r="O13" s="14">
        <v>0</v>
      </c>
      <c r="P13" s="14">
        <v>0</v>
      </c>
      <c r="Q13" s="13">
        <f>+Q19-Q7</f>
        <v>0</v>
      </c>
      <c r="R13" s="15">
        <f>+SUM(E13,H13,K13,M13,P13)</f>
        <v>8.0661910000000034</v>
      </c>
      <c r="S13" s="15">
        <f t="shared" si="30"/>
        <v>8.0661910000000034</v>
      </c>
      <c r="T13" s="15">
        <f>+SUM(C13:D13,F13:G13,I13:J13,M13)</f>
        <v>8.0661910000000034</v>
      </c>
      <c r="U13" s="16">
        <f>+SUM(C13:D13,F13:G13,I13:J13)</f>
        <v>8.0661910000000034</v>
      </c>
      <c r="W13" s="31"/>
      <c r="X13" s="31"/>
      <c r="Y13" s="32"/>
      <c r="Z13" s="31"/>
      <c r="AA13" s="31"/>
      <c r="AB13" s="32"/>
      <c r="AC13" s="31"/>
      <c r="AD13" s="31"/>
      <c r="AE13" s="32"/>
      <c r="AF13" s="32"/>
      <c r="AG13" s="32"/>
      <c r="AH13" s="32"/>
      <c r="AI13" s="33"/>
      <c r="AJ13" s="32"/>
      <c r="AK13" s="33"/>
      <c r="AL13" s="33"/>
      <c r="AM13" s="32"/>
      <c r="AN13" s="32"/>
      <c r="AO13" s="34"/>
      <c r="AP13" s="34"/>
      <c r="AQ13" s="34"/>
      <c r="AR13" s="35"/>
      <c r="AT13" s="36">
        <f>+IF(W13&lt;&gt;0,W13-C13,0)</f>
        <v>0</v>
      </c>
      <c r="AU13" s="36" t="s">
        <v>45</v>
      </c>
      <c r="AV13" s="37">
        <f>+IF(Y13&lt;&gt;0,Y13-E13,0)</f>
        <v>0</v>
      </c>
      <c r="AW13" s="36">
        <f>+IF(Z13&lt;&gt;0,Z13-F13,0)</f>
        <v>0</v>
      </c>
      <c r="AX13" s="36" t="s">
        <v>45</v>
      </c>
      <c r="AY13" s="37">
        <f>+IF(AB13&lt;&gt;0,AB13-H13,0)</f>
        <v>0</v>
      </c>
      <c r="AZ13" s="36">
        <f>+IF(AC13&lt;&gt;0,AC13-I13,0)</f>
        <v>0</v>
      </c>
      <c r="BA13" s="36" t="s">
        <v>45</v>
      </c>
      <c r="BB13" s="37">
        <f>+IF(AE13&lt;&gt;0,AE13-K13,0)</f>
        <v>0</v>
      </c>
      <c r="BC13" s="37"/>
      <c r="BD13" s="37">
        <f>+IF(AG13&lt;&gt;0,AG13-M13,0)</f>
        <v>0</v>
      </c>
      <c r="BE13" s="37"/>
      <c r="BF13" s="37"/>
      <c r="BG13" s="37">
        <f t="shared" si="35"/>
        <v>0</v>
      </c>
      <c r="BH13" s="37"/>
      <c r="BI13" s="38">
        <f>+IF(AO13&lt;&gt;0,AO13-R13,0)</f>
        <v>0</v>
      </c>
      <c r="BJ13" s="38"/>
      <c r="BK13" s="38"/>
      <c r="BL13" s="39">
        <f t="shared" si="31"/>
        <v>0</v>
      </c>
      <c r="BN13" s="23">
        <f t="shared" si="0"/>
        <v>0</v>
      </c>
      <c r="BO13" s="23">
        <f>+SUM(AT13:AU13,AW13:AX13,AZ13:BA13)-BL13</f>
        <v>0</v>
      </c>
    </row>
    <row r="14" spans="2:70" x14ac:dyDescent="0.15">
      <c r="B14" s="4" t="s">
        <v>46</v>
      </c>
      <c r="C14" s="25">
        <f>+SUM(C10:C13)</f>
        <v>7.1139060000000001</v>
      </c>
      <c r="D14" s="25">
        <f>+SUM(D10:D13)</f>
        <v>0</v>
      </c>
      <c r="E14" s="26">
        <f t="shared" ref="E14:F14" si="36">+SUM(E10:E13)</f>
        <v>7.1139060000000001</v>
      </c>
      <c r="F14" s="25">
        <f t="shared" si="36"/>
        <v>9.9774849999999873</v>
      </c>
      <c r="G14" s="25">
        <f>+SUM(G10:G13)</f>
        <v>0</v>
      </c>
      <c r="H14" s="26">
        <f t="shared" ref="H14:Q14" si="37">+SUM(H10:H13)</f>
        <v>9.9774849999999873</v>
      </c>
      <c r="I14" s="25">
        <f t="shared" si="37"/>
        <v>14.404979000000026</v>
      </c>
      <c r="J14" s="25">
        <f t="shared" si="37"/>
        <v>0</v>
      </c>
      <c r="K14" s="26">
        <f t="shared" si="37"/>
        <v>14.404979000000026</v>
      </c>
      <c r="L14" s="26">
        <f t="shared" si="37"/>
        <v>0</v>
      </c>
      <c r="M14" s="26">
        <f t="shared" si="37"/>
        <v>0</v>
      </c>
      <c r="N14" s="25">
        <f t="shared" si="37"/>
        <v>0</v>
      </c>
      <c r="O14" s="26">
        <f t="shared" si="37"/>
        <v>0</v>
      </c>
      <c r="P14" s="26">
        <f t="shared" si="37"/>
        <v>0</v>
      </c>
      <c r="Q14" s="25">
        <f t="shared" si="37"/>
        <v>0</v>
      </c>
      <c r="R14" s="15">
        <f>+SUM(E14,H14,K14,M14,P14)</f>
        <v>31.496370000000013</v>
      </c>
      <c r="S14" s="15">
        <f t="shared" si="30"/>
        <v>31.496370000000013</v>
      </c>
      <c r="T14" s="15">
        <f>+SUM(C14:D14,F14:G14,I14:J14,M14)</f>
        <v>31.496370000000013</v>
      </c>
      <c r="U14" s="16">
        <f>+SUM(C14:D14,F14:G14,I14:J14)</f>
        <v>31.496370000000013</v>
      </c>
      <c r="W14" s="40"/>
      <c r="X14" s="40"/>
      <c r="Y14" s="41"/>
      <c r="Z14" s="40"/>
      <c r="AA14" s="40"/>
      <c r="AB14" s="41"/>
      <c r="AC14" s="40"/>
      <c r="AD14" s="40"/>
      <c r="AE14" s="41"/>
      <c r="AF14" s="41"/>
      <c r="AG14" s="41"/>
      <c r="AH14" s="41"/>
      <c r="AI14" s="33"/>
      <c r="AJ14" s="41"/>
      <c r="AK14" s="33"/>
      <c r="AL14" s="33"/>
      <c r="AM14" s="32"/>
      <c r="AN14" s="32"/>
      <c r="AO14" s="34"/>
      <c r="AP14" s="34"/>
      <c r="AQ14" s="34"/>
      <c r="AR14" s="35"/>
      <c r="AT14" s="42">
        <f>+SUM(AT10:AT13)</f>
        <v>0</v>
      </c>
      <c r="AU14" s="42" t="s">
        <v>45</v>
      </c>
      <c r="AV14" s="43">
        <f t="shared" ref="AV14:BB14" si="38">+SUM(AV10:AV13)</f>
        <v>0</v>
      </c>
      <c r="AW14" s="42">
        <f t="shared" si="38"/>
        <v>0</v>
      </c>
      <c r="AX14" s="42" t="s">
        <v>45</v>
      </c>
      <c r="AY14" s="43">
        <f t="shared" si="38"/>
        <v>0</v>
      </c>
      <c r="AZ14" s="42">
        <f t="shared" si="38"/>
        <v>0</v>
      </c>
      <c r="BA14" s="42" t="s">
        <v>45</v>
      </c>
      <c r="BB14" s="43">
        <f t="shared" si="38"/>
        <v>0</v>
      </c>
      <c r="BC14" s="43"/>
      <c r="BD14" s="43">
        <f t="shared" ref="BD14" si="39">+SUM(BD10:BD13)</f>
        <v>0</v>
      </c>
      <c r="BE14" s="43"/>
      <c r="BF14" s="43"/>
      <c r="BG14" s="43">
        <f t="shared" ref="BG14" si="40">+SUM(BG10:BG13)</f>
        <v>0</v>
      </c>
      <c r="BH14" s="43"/>
      <c r="BI14" s="38">
        <f t="shared" ref="BI14" si="41">+SUM(BI10:BI13)</f>
        <v>0</v>
      </c>
      <c r="BJ14" s="38"/>
      <c r="BK14" s="38"/>
      <c r="BL14" s="39">
        <f t="shared" ref="BL14" si="42">+SUM(BL10:BL13)</f>
        <v>0</v>
      </c>
      <c r="BN14" s="23">
        <f t="shared" si="0"/>
        <v>0</v>
      </c>
      <c r="BO14" s="23">
        <f>+SUM(AT14:AU14,AW14:AX14,AZ14:BA14)-BL14</f>
        <v>0</v>
      </c>
    </row>
    <row r="15" spans="2:70" x14ac:dyDescent="0.15">
      <c r="W15" s="30"/>
      <c r="X15" s="30"/>
      <c r="Z15" s="30"/>
      <c r="AA15" s="30"/>
      <c r="AC15" s="30"/>
      <c r="AD15" s="30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T15" s="30"/>
      <c r="AU15" s="30"/>
      <c r="AV15" s="2"/>
      <c r="AW15" s="30"/>
      <c r="AX15" s="30"/>
      <c r="AY15" s="2"/>
      <c r="AZ15" s="30"/>
      <c r="BA15" s="30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N15" s="23"/>
      <c r="BO15" s="23"/>
    </row>
    <row r="16" spans="2:70" x14ac:dyDescent="0.15">
      <c r="B16" s="1" t="s">
        <v>40</v>
      </c>
      <c r="C16" s="13">
        <v>85.179064873000016</v>
      </c>
      <c r="D16" s="13">
        <f>+D4+D10</f>
        <v>0</v>
      </c>
      <c r="E16" s="14">
        <f>+SUM(C16:D16)</f>
        <v>85.179064873000016</v>
      </c>
      <c r="F16" s="13">
        <v>110.53858184699999</v>
      </c>
      <c r="G16" s="13">
        <f>+G4+G10</f>
        <v>11.204344000000001</v>
      </c>
      <c r="H16" s="14">
        <f>+SUM(F16:G16)</f>
        <v>121.742925847</v>
      </c>
      <c r="I16" s="13">
        <v>155.12645285900001</v>
      </c>
      <c r="J16" s="13">
        <f>+J4+J10</f>
        <v>15.307935000000001</v>
      </c>
      <c r="K16" s="14">
        <f>+SUM(I16:J16)</f>
        <v>170.43438785900003</v>
      </c>
      <c r="L16" s="14">
        <f t="shared" ref="L16:L19" si="43">+M16+N16</f>
        <v>2.0760853970000022</v>
      </c>
      <c r="M16" s="14">
        <f>+M4+M10</f>
        <v>1.227900647000002</v>
      </c>
      <c r="N16" s="13">
        <v>0.84818475000000004</v>
      </c>
      <c r="O16" s="14">
        <v>0.18446536999999999</v>
      </c>
      <c r="P16" s="14">
        <v>1.03265012</v>
      </c>
      <c r="Q16" s="44">
        <v>26.512278999999999</v>
      </c>
      <c r="R16" s="15">
        <f>+SUM(E16,H16,K16,M16,P16)</f>
        <v>379.61692934600006</v>
      </c>
      <c r="S16" s="15">
        <f t="shared" ref="S16:S20" si="44">+SUM(E16,H16,K16,L16)</f>
        <v>379.43246397600001</v>
      </c>
      <c r="T16" s="15">
        <f>+SUM(C16:D16,F16:G16,I16:J16,M16)</f>
        <v>378.58427922600004</v>
      </c>
      <c r="U16" s="16">
        <f>+SUM(C16:D16,F16:G16,I16:J16)</f>
        <v>377.35637857900002</v>
      </c>
      <c r="W16" s="17">
        <v>82.376658053</v>
      </c>
      <c r="X16" s="17">
        <f>+X4</f>
        <v>0</v>
      </c>
      <c r="Y16" s="18">
        <f>+SUM(W16:X16)</f>
        <v>82.376658053</v>
      </c>
      <c r="Z16" s="17">
        <v>106.10180140800001</v>
      </c>
      <c r="AA16" s="17">
        <f>+AA4</f>
        <v>10.568387159999999</v>
      </c>
      <c r="AB16" s="18">
        <f>+SUM(Z16:AA16)</f>
        <v>116.67018856800001</v>
      </c>
      <c r="AC16" s="17">
        <v>152.011221017</v>
      </c>
      <c r="AD16" s="17">
        <f>+AD4</f>
        <v>15.055231920000002</v>
      </c>
      <c r="AE16" s="18">
        <f>+SUM(AC16:AD16)</f>
        <v>167.06645293700001</v>
      </c>
      <c r="AF16" s="18">
        <f>+AG16+AH16</f>
        <v>9.6429957829999999</v>
      </c>
      <c r="AG16" s="18">
        <f t="shared" ref="AG16:AK19" si="45">+AG4</f>
        <v>8.7540537829999998</v>
      </c>
      <c r="AH16" s="18">
        <f t="shared" si="45"/>
        <v>0.88894200000000001</v>
      </c>
      <c r="AI16" s="19">
        <f t="shared" si="45"/>
        <v>-7.9283083230000004</v>
      </c>
      <c r="AJ16" s="18">
        <f t="shared" si="45"/>
        <v>-8.8172503229999997</v>
      </c>
      <c r="AK16" s="19">
        <f t="shared" si="45"/>
        <v>35.490909726999995</v>
      </c>
      <c r="AL16" s="19">
        <f>-X16-AA16-AD16</f>
        <v>-25.623619080000001</v>
      </c>
      <c r="AM16" s="18">
        <f>+SUM(AK16:AL16)</f>
        <v>9.8672906469999937</v>
      </c>
      <c r="AN16" s="18">
        <f t="shared" ref="AN16:AN20" si="46">+AJ16+AM16</f>
        <v>1.050040323999994</v>
      </c>
      <c r="AO16" s="20">
        <f>+SUM(AM16,AI16,AG16,AE16,AB16,Y16)</f>
        <v>376.80633566500001</v>
      </c>
      <c r="AP16" s="20">
        <f t="shared" ref="AP16:AP20" si="47">+SUM(AG16,AE16,AB16,Y16,AH16)</f>
        <v>375.756295341</v>
      </c>
      <c r="AQ16" s="20">
        <f t="shared" ref="AQ16:AQ20" si="48">+SUM(W16:X16,Z16:AA16,AC16:AD16,AG16)</f>
        <v>374.86735334100001</v>
      </c>
      <c r="AR16" s="21">
        <f>+SUM(W16:X16,Z16:AA16,AC16:AD16)</f>
        <v>366.11329955799999</v>
      </c>
      <c r="AT16" s="17">
        <f>+IF(W16&lt;&gt;0,W16-C16,0)</f>
        <v>-2.8024068200000158</v>
      </c>
      <c r="AU16" s="17">
        <f>+IF(X16&lt;&gt;0,X16-D16,0)</f>
        <v>0</v>
      </c>
      <c r="AV16" s="18">
        <f>+IF(Y16&lt;&gt;0,Y16-E16,0)</f>
        <v>-2.8024068200000158</v>
      </c>
      <c r="AW16" s="17">
        <f>+IF(Z16&lt;&gt;0,Z16-F16,0)</f>
        <v>-4.4367804389999748</v>
      </c>
      <c r="AX16" s="17">
        <f>+IF(AA16&lt;&gt;0,AA16-G16,0)</f>
        <v>-0.63595684000000219</v>
      </c>
      <c r="AY16" s="18">
        <f>+IF(AB16&lt;&gt;0,AB16-H16,0)</f>
        <v>-5.0727372789999805</v>
      </c>
      <c r="AZ16" s="17">
        <f>+IF(AC16&lt;&gt;0,AC16-I16,0)</f>
        <v>-3.1152318420000142</v>
      </c>
      <c r="BA16" s="17">
        <f>+IF(AD16&lt;&gt;0,AD16-J16,0)</f>
        <v>-0.25270307999999808</v>
      </c>
      <c r="BB16" s="18">
        <f>+IF(AE16&lt;&gt;0,AE16-K16,0)</f>
        <v>-3.3679349220000177</v>
      </c>
      <c r="BC16" s="18">
        <f>+BD16+BE16</f>
        <v>7.5669103859999982</v>
      </c>
      <c r="BD16" s="18">
        <f>+IF(AG16&lt;&gt;0,AG16-M16,0)</f>
        <v>7.5261531359999978</v>
      </c>
      <c r="BE16" s="18">
        <f>+IF(AH16&lt;&gt;0,AH16-N16,0)</f>
        <v>4.0757249999999967E-2</v>
      </c>
      <c r="BF16" s="18">
        <f>+IF(AI16&lt;&gt;0,-O16,0)</f>
        <v>-0.18446536999999999</v>
      </c>
      <c r="BG16" s="18">
        <f>+SUM(AJ16,AM16)</f>
        <v>1.050040323999994</v>
      </c>
      <c r="BH16" s="18">
        <f>+BF16+BG16</f>
        <v>0.86557495399999407</v>
      </c>
      <c r="BI16" s="22">
        <f>+IF(AO16&lt;&gt;0,AO16-R16,0)</f>
        <v>-2.8105936810000571</v>
      </c>
      <c r="BJ16" s="22">
        <f>+IF(AP16&lt;&gt;0,AP16-S16,0)</f>
        <v>-3.6761686350000105</v>
      </c>
      <c r="BK16" s="22">
        <f t="shared" ref="BK16:BL19" si="49">+IF(AQ16&lt;&gt;0,AQ16-T16,0)</f>
        <v>-3.7169258850000233</v>
      </c>
      <c r="BL16" s="21">
        <f t="shared" si="49"/>
        <v>-11.243079021000028</v>
      </c>
      <c r="BM16" s="45"/>
      <c r="BN16" s="23">
        <f t="shared" si="0"/>
        <v>3.5083047578154947E-14</v>
      </c>
      <c r="BO16" s="23">
        <f>+SUM(AT16:AU16,AW16:AX16,AZ16:BA16)-BL16</f>
        <v>2.3092638912203256E-14</v>
      </c>
      <c r="BP16" s="24">
        <v>0</v>
      </c>
      <c r="BQ16" s="24">
        <v>0</v>
      </c>
    </row>
    <row r="17" spans="1:69" x14ac:dyDescent="0.15">
      <c r="B17" s="1" t="s">
        <v>41</v>
      </c>
      <c r="C17" s="13">
        <v>89.827775339000013</v>
      </c>
      <c r="D17" s="13">
        <f>+D5+D11</f>
        <v>0</v>
      </c>
      <c r="E17" s="14">
        <f t="shared" ref="E17:E19" si="50">+SUM(C17:D17)</f>
        <v>89.827775339000013</v>
      </c>
      <c r="F17" s="13">
        <v>114.060223765</v>
      </c>
      <c r="G17" s="13">
        <f>+G5+G11</f>
        <v>13.690827000000001</v>
      </c>
      <c r="H17" s="14">
        <f t="shared" ref="H17:H19" si="51">+SUM(F17:G17)</f>
        <v>127.751050765</v>
      </c>
      <c r="I17" s="13">
        <v>162.10743483000005</v>
      </c>
      <c r="J17" s="13">
        <f>+J5+J11</f>
        <v>19.604892</v>
      </c>
      <c r="K17" s="14">
        <f t="shared" ref="K17:K19" si="52">+SUM(I17:J17)</f>
        <v>181.71232683000005</v>
      </c>
      <c r="L17" s="14">
        <f t="shared" si="43"/>
        <v>3.1710878039999999</v>
      </c>
      <c r="M17" s="14">
        <f>+M5+M11</f>
        <v>2.3229030539999997</v>
      </c>
      <c r="N17" s="13">
        <v>0.84818475000000004</v>
      </c>
      <c r="O17" s="14">
        <v>0.13271537</v>
      </c>
      <c r="P17" s="14">
        <v>0.98090012000000004</v>
      </c>
      <c r="Q17" s="44">
        <v>33.295718999999998</v>
      </c>
      <c r="R17" s="15">
        <f>+SUM(E17,H17,K17,M17,P17)</f>
        <v>402.59495610800008</v>
      </c>
      <c r="S17" s="15">
        <f t="shared" si="44"/>
        <v>402.46224073800011</v>
      </c>
      <c r="T17" s="15">
        <f>+SUM(C17:D17,F17:G17,I17:J17,M17)</f>
        <v>401.61405598800008</v>
      </c>
      <c r="U17" s="16">
        <f>+SUM(C17:D17,F17:G17,I17:J17)</f>
        <v>399.29115293400008</v>
      </c>
      <c r="W17" s="17">
        <v>0</v>
      </c>
      <c r="X17" s="17">
        <f t="shared" ref="X17:X19" si="53">+X5</f>
        <v>0</v>
      </c>
      <c r="Y17" s="18">
        <f t="shared" ref="Y17:Y19" si="54">+SUM(W17:X17)</f>
        <v>0</v>
      </c>
      <c r="Z17" s="17">
        <v>0</v>
      </c>
      <c r="AA17" s="17">
        <f t="shared" ref="AA17:AA19" si="55">+AA5</f>
        <v>0</v>
      </c>
      <c r="AB17" s="18">
        <f t="shared" ref="AB17:AB19" si="56">+SUM(Z17:AA17)</f>
        <v>0</v>
      </c>
      <c r="AC17" s="17">
        <v>0</v>
      </c>
      <c r="AD17" s="17">
        <f t="shared" ref="AD17:AD19" si="57">+AD5</f>
        <v>0</v>
      </c>
      <c r="AE17" s="18">
        <f t="shared" ref="AE17:AE19" si="58">+SUM(AC17:AD17)</f>
        <v>0</v>
      </c>
      <c r="AF17" s="18">
        <f t="shared" ref="AF17:AF19" si="59">+AG17+AH17</f>
        <v>0</v>
      </c>
      <c r="AG17" s="18">
        <f t="shared" si="45"/>
        <v>0</v>
      </c>
      <c r="AH17" s="18">
        <f t="shared" si="45"/>
        <v>0</v>
      </c>
      <c r="AI17" s="19">
        <f t="shared" si="45"/>
        <v>0</v>
      </c>
      <c r="AJ17" s="18">
        <f t="shared" si="45"/>
        <v>0</v>
      </c>
      <c r="AK17" s="19">
        <f t="shared" si="45"/>
        <v>0</v>
      </c>
      <c r="AL17" s="19">
        <f>-X17-AA17-AD17</f>
        <v>0</v>
      </c>
      <c r="AM17" s="18">
        <f t="shared" ref="AM17:AM19" si="60">+SUM(AK17:AL17)</f>
        <v>0</v>
      </c>
      <c r="AN17" s="18">
        <f t="shared" si="46"/>
        <v>0</v>
      </c>
      <c r="AO17" s="20">
        <f t="shared" ref="AO17:AO19" si="61">+SUM(AM17,AI17,AG17,AE17,AB17,Y17)</f>
        <v>0</v>
      </c>
      <c r="AP17" s="20">
        <f t="shared" si="47"/>
        <v>0</v>
      </c>
      <c r="AQ17" s="20">
        <f t="shared" si="48"/>
        <v>0</v>
      </c>
      <c r="AR17" s="21">
        <f t="shared" ref="AR17:AR20" si="62">+SUM(W17:X17,Z17:AA17,AC17:AD17)</f>
        <v>0</v>
      </c>
      <c r="AT17" s="17">
        <f>+IF(W17&lt;&gt;0,W17-C17,0)</f>
        <v>0</v>
      </c>
      <c r="AU17" s="17">
        <f>+IF(X17&lt;&gt;0,X17-D17,0)</f>
        <v>0</v>
      </c>
      <c r="AV17" s="18">
        <f>+IF(Y17&lt;&gt;0,Y17-E17,0)</f>
        <v>0</v>
      </c>
      <c r="AW17" s="17">
        <f>+IF(Z17&lt;&gt;0,Z17-F17,0)</f>
        <v>0</v>
      </c>
      <c r="AX17" s="17">
        <f>+IF(AA17&lt;&gt;0,AA17-G17,0)</f>
        <v>0</v>
      </c>
      <c r="AY17" s="18">
        <f>+IF(AB17&lt;&gt;0,AB17-H17,0)</f>
        <v>0</v>
      </c>
      <c r="AZ17" s="17">
        <f>+IF(AC17&lt;&gt;0,AC17-I17,0)</f>
        <v>0</v>
      </c>
      <c r="BA17" s="17">
        <f>+IF(AD17&lt;&gt;0,AD17-J17,0)</f>
        <v>0</v>
      </c>
      <c r="BB17" s="18">
        <f>+IF(AE17&lt;&gt;0,AE17-K17,0)</f>
        <v>0</v>
      </c>
      <c r="BC17" s="18">
        <f t="shared" ref="BC17:BC19" si="63">+BD17+BE17</f>
        <v>0</v>
      </c>
      <c r="BD17" s="18">
        <f>+IF(AG17&lt;&gt;0,AG17-M17,0)</f>
        <v>0</v>
      </c>
      <c r="BE17" s="18">
        <f t="shared" ref="BE17:BE19" si="64">+IF(AH17&lt;&gt;0,AH17-N17,0)</f>
        <v>0</v>
      </c>
      <c r="BF17" s="18">
        <f>+IF(AI17&lt;&gt;0,-O17,0)</f>
        <v>0</v>
      </c>
      <c r="BG17" s="18">
        <f t="shared" ref="BG17:BG19" si="65">+SUM(AJ17,AM17)</f>
        <v>0</v>
      </c>
      <c r="BH17" s="18">
        <f t="shared" ref="BH17:BH19" si="66">+BF17+BG17</f>
        <v>0</v>
      </c>
      <c r="BI17" s="22">
        <f>+IF(AO17&lt;&gt;0,AO17-R17,0)</f>
        <v>0</v>
      </c>
      <c r="BJ17" s="22">
        <f t="shared" ref="BJ17:BJ19" si="67">+IF(AP17&lt;&gt;0,AP17-S17,0)</f>
        <v>0</v>
      </c>
      <c r="BK17" s="22">
        <f t="shared" si="49"/>
        <v>0</v>
      </c>
      <c r="BL17" s="21">
        <f t="shared" si="49"/>
        <v>0</v>
      </c>
      <c r="BN17" s="23">
        <f t="shared" si="0"/>
        <v>0</v>
      </c>
      <c r="BO17" s="23">
        <f>+SUM(AT17:AU17,AW17:AX17,AZ17:BA17)-BL17</f>
        <v>0</v>
      </c>
      <c r="BP17" s="24">
        <v>0</v>
      </c>
      <c r="BQ17" s="24">
        <v>0</v>
      </c>
    </row>
    <row r="18" spans="1:69" x14ac:dyDescent="0.15">
      <c r="B18" s="1" t="s">
        <v>42</v>
      </c>
      <c r="C18" s="13">
        <v>93.723308907000003</v>
      </c>
      <c r="D18" s="13">
        <f>+D6+D12</f>
        <v>0</v>
      </c>
      <c r="E18" s="14">
        <f t="shared" si="50"/>
        <v>93.723308907000003</v>
      </c>
      <c r="F18" s="13">
        <v>117.261551755</v>
      </c>
      <c r="G18" s="13">
        <f>+G6+G12</f>
        <v>13.690827000000001</v>
      </c>
      <c r="H18" s="14">
        <f t="shared" si="51"/>
        <v>130.95237875500001</v>
      </c>
      <c r="I18" s="13">
        <v>166.66010623100004</v>
      </c>
      <c r="J18" s="13">
        <f>+J6+J12</f>
        <v>19.604892</v>
      </c>
      <c r="K18" s="14">
        <f t="shared" si="52"/>
        <v>186.26499823100005</v>
      </c>
      <c r="L18" s="14">
        <f t="shared" si="43"/>
        <v>3.1976674070000017</v>
      </c>
      <c r="M18" s="14">
        <f>+M6+M12</f>
        <v>2.3494826570000016</v>
      </c>
      <c r="N18" s="13">
        <v>0.84818475000000004</v>
      </c>
      <c r="O18" s="14">
        <v>9.7680369999999989E-2</v>
      </c>
      <c r="P18" s="14">
        <v>0.94586512</v>
      </c>
      <c r="Q18" s="44">
        <v>33.295718999999998</v>
      </c>
      <c r="R18" s="15">
        <f>+SUM(E18,H18,K18,M18,P18)</f>
        <v>414.2360336700001</v>
      </c>
      <c r="S18" s="15">
        <f t="shared" si="44"/>
        <v>414.13835330000006</v>
      </c>
      <c r="T18" s="15">
        <f>+SUM(C18:D18,F18:G18,I18:J18,M18)</f>
        <v>413.29016855000009</v>
      </c>
      <c r="U18" s="16">
        <f>+SUM(C18:D18,F18:G18,I18:J18)</f>
        <v>410.94068589300008</v>
      </c>
      <c r="W18" s="17">
        <v>0</v>
      </c>
      <c r="X18" s="17">
        <f t="shared" si="53"/>
        <v>0</v>
      </c>
      <c r="Y18" s="18">
        <f t="shared" si="54"/>
        <v>0</v>
      </c>
      <c r="Z18" s="17">
        <v>0</v>
      </c>
      <c r="AA18" s="17">
        <f t="shared" si="55"/>
        <v>0</v>
      </c>
      <c r="AB18" s="18">
        <f t="shared" si="56"/>
        <v>0</v>
      </c>
      <c r="AC18" s="17">
        <v>0</v>
      </c>
      <c r="AD18" s="17">
        <f t="shared" si="57"/>
        <v>0</v>
      </c>
      <c r="AE18" s="18">
        <f t="shared" si="58"/>
        <v>0</v>
      </c>
      <c r="AF18" s="18">
        <f t="shared" si="59"/>
        <v>0</v>
      </c>
      <c r="AG18" s="18">
        <f t="shared" si="45"/>
        <v>0</v>
      </c>
      <c r="AH18" s="18">
        <f t="shared" si="45"/>
        <v>0</v>
      </c>
      <c r="AI18" s="19">
        <f t="shared" si="45"/>
        <v>0</v>
      </c>
      <c r="AJ18" s="18">
        <f t="shared" si="45"/>
        <v>0</v>
      </c>
      <c r="AK18" s="19">
        <f t="shared" si="45"/>
        <v>0</v>
      </c>
      <c r="AL18" s="19">
        <f>-X18-AA18-AD18</f>
        <v>0</v>
      </c>
      <c r="AM18" s="18">
        <f t="shared" si="60"/>
        <v>0</v>
      </c>
      <c r="AN18" s="18">
        <f t="shared" si="46"/>
        <v>0</v>
      </c>
      <c r="AO18" s="20">
        <f t="shared" si="61"/>
        <v>0</v>
      </c>
      <c r="AP18" s="20">
        <f t="shared" si="47"/>
        <v>0</v>
      </c>
      <c r="AQ18" s="20">
        <f t="shared" si="48"/>
        <v>0</v>
      </c>
      <c r="AR18" s="21">
        <f t="shared" si="62"/>
        <v>0</v>
      </c>
      <c r="AT18" s="17">
        <f>+IF(W18&lt;&gt;0,W18-C18,0)</f>
        <v>0</v>
      </c>
      <c r="AU18" s="17">
        <f>+IF(X18&lt;&gt;0,X18-D18,0)</f>
        <v>0</v>
      </c>
      <c r="AV18" s="18">
        <f>+IF(Y18&lt;&gt;0,Y18-E18,0)</f>
        <v>0</v>
      </c>
      <c r="AW18" s="17">
        <f>+IF(Z18&lt;&gt;0,Z18-F18,0)</f>
        <v>0</v>
      </c>
      <c r="AX18" s="17">
        <f>+IF(AA18&lt;&gt;0,AA18-G18,0)</f>
        <v>0</v>
      </c>
      <c r="AY18" s="18">
        <f>+IF(AB18&lt;&gt;0,AB18-H18,0)</f>
        <v>0</v>
      </c>
      <c r="AZ18" s="17">
        <f>+IF(AC18&lt;&gt;0,AC18-I18,0)</f>
        <v>0</v>
      </c>
      <c r="BA18" s="17">
        <f>+IF(AD18&lt;&gt;0,AD18-J18,0)</f>
        <v>0</v>
      </c>
      <c r="BB18" s="18">
        <f>+IF(AE18&lt;&gt;0,AE18-K18,0)</f>
        <v>0</v>
      </c>
      <c r="BC18" s="18">
        <f t="shared" si="63"/>
        <v>0</v>
      </c>
      <c r="BD18" s="18">
        <f>+IF(AG18&lt;&gt;0,AG18-M18,0)</f>
        <v>0</v>
      </c>
      <c r="BE18" s="18">
        <f t="shared" si="64"/>
        <v>0</v>
      </c>
      <c r="BF18" s="18">
        <f>+IF(AI18&lt;&gt;0,-O18,0)</f>
        <v>0</v>
      </c>
      <c r="BG18" s="18">
        <f t="shared" si="65"/>
        <v>0</v>
      </c>
      <c r="BH18" s="18">
        <f t="shared" si="66"/>
        <v>0</v>
      </c>
      <c r="BI18" s="22">
        <f>+IF(AO18&lt;&gt;0,AO18-R18,0)</f>
        <v>0</v>
      </c>
      <c r="BJ18" s="22">
        <f t="shared" si="67"/>
        <v>0</v>
      </c>
      <c r="BK18" s="22">
        <f t="shared" si="49"/>
        <v>0</v>
      </c>
      <c r="BL18" s="21">
        <f t="shared" si="49"/>
        <v>0</v>
      </c>
      <c r="BN18" s="23">
        <f t="shared" si="0"/>
        <v>0</v>
      </c>
      <c r="BO18" s="23">
        <f>+SUM(AT18:AU18,AW18:AX18,AZ18:BA18)-BL18</f>
        <v>0</v>
      </c>
      <c r="BP18" s="24">
        <v>0</v>
      </c>
      <c r="BQ18" s="24">
        <v>0</v>
      </c>
    </row>
    <row r="19" spans="1:69" x14ac:dyDescent="0.15">
      <c r="B19" s="1" t="s">
        <v>43</v>
      </c>
      <c r="C19" s="13">
        <v>89.407001401999992</v>
      </c>
      <c r="D19" s="13">
        <f>+D7+D13</f>
        <v>0</v>
      </c>
      <c r="E19" s="14">
        <f t="shared" si="50"/>
        <v>89.407001401999992</v>
      </c>
      <c r="F19" s="13">
        <v>114.83200685199999</v>
      </c>
      <c r="G19" s="13">
        <f>+G7+G13</f>
        <v>12.934041000000001</v>
      </c>
      <c r="H19" s="14">
        <f t="shared" si="51"/>
        <v>127.76604785199999</v>
      </c>
      <c r="I19" s="13">
        <v>164.41780025600002</v>
      </c>
      <c r="J19" s="13">
        <f>+J7+J13</f>
        <v>19.604892</v>
      </c>
      <c r="K19" s="14">
        <f t="shared" si="52"/>
        <v>184.02269225600003</v>
      </c>
      <c r="L19" s="14">
        <f t="shared" si="43"/>
        <v>2.3287532080000029</v>
      </c>
      <c r="M19" s="14">
        <f>+M7+M13</f>
        <v>1.4805684580000027</v>
      </c>
      <c r="N19" s="13">
        <v>0.84818475000000004</v>
      </c>
      <c r="O19" s="14">
        <v>2.7610369999999999E-2</v>
      </c>
      <c r="P19" s="14">
        <v>0.87579512000000004</v>
      </c>
      <c r="Q19" s="44">
        <v>32.538933</v>
      </c>
      <c r="R19" s="15">
        <f>+SUM(E19,H19,K19,M19,P19)</f>
        <v>403.55210508800002</v>
      </c>
      <c r="S19" s="15">
        <f t="shared" si="44"/>
        <v>403.52449471800003</v>
      </c>
      <c r="T19" s="15">
        <f>+SUM(C19:D19,F19:G19,I19:J19,M19)</f>
        <v>402.676309968</v>
      </c>
      <c r="U19" s="16">
        <f>+SUM(C19:D19,F19:G19,I19:J19)</f>
        <v>401.19574151</v>
      </c>
      <c r="W19" s="17">
        <v>0</v>
      </c>
      <c r="X19" s="17">
        <f t="shared" si="53"/>
        <v>0</v>
      </c>
      <c r="Y19" s="18">
        <f t="shared" si="54"/>
        <v>0</v>
      </c>
      <c r="Z19" s="17">
        <v>0</v>
      </c>
      <c r="AA19" s="17">
        <f t="shared" si="55"/>
        <v>0</v>
      </c>
      <c r="AB19" s="18">
        <f t="shared" si="56"/>
        <v>0</v>
      </c>
      <c r="AC19" s="17">
        <v>0</v>
      </c>
      <c r="AD19" s="17">
        <f t="shared" si="57"/>
        <v>0</v>
      </c>
      <c r="AE19" s="18">
        <f t="shared" si="58"/>
        <v>0</v>
      </c>
      <c r="AF19" s="18">
        <f t="shared" si="59"/>
        <v>0</v>
      </c>
      <c r="AG19" s="18">
        <f t="shared" si="45"/>
        <v>0</v>
      </c>
      <c r="AH19" s="18">
        <f t="shared" si="45"/>
        <v>0</v>
      </c>
      <c r="AI19" s="19">
        <f t="shared" si="45"/>
        <v>0</v>
      </c>
      <c r="AJ19" s="18">
        <f t="shared" si="45"/>
        <v>0</v>
      </c>
      <c r="AK19" s="19">
        <f t="shared" si="45"/>
        <v>0</v>
      </c>
      <c r="AL19" s="19">
        <f>-X19-AA19-AD19</f>
        <v>0</v>
      </c>
      <c r="AM19" s="18">
        <f t="shared" si="60"/>
        <v>0</v>
      </c>
      <c r="AN19" s="18">
        <f t="shared" si="46"/>
        <v>0</v>
      </c>
      <c r="AO19" s="20">
        <f t="shared" si="61"/>
        <v>0</v>
      </c>
      <c r="AP19" s="20">
        <f t="shared" si="47"/>
        <v>0</v>
      </c>
      <c r="AQ19" s="20">
        <f t="shared" si="48"/>
        <v>0</v>
      </c>
      <c r="AR19" s="21">
        <f t="shared" si="62"/>
        <v>0</v>
      </c>
      <c r="AT19" s="17">
        <f>+IF(W19&lt;&gt;0,W19-C19,0)</f>
        <v>0</v>
      </c>
      <c r="AU19" s="17">
        <f>+IF(X19&lt;&gt;0,X19-D19,0)</f>
        <v>0</v>
      </c>
      <c r="AV19" s="18">
        <f>+IF(Y19&lt;&gt;0,Y19-E19,0)</f>
        <v>0</v>
      </c>
      <c r="AW19" s="17">
        <f>+IF(Z19&lt;&gt;0,Z19-F19,0)</f>
        <v>0</v>
      </c>
      <c r="AX19" s="17">
        <f>+IF(AA19&lt;&gt;0,AA19-G19,0)</f>
        <v>0</v>
      </c>
      <c r="AY19" s="18">
        <f>+IF(AB19&lt;&gt;0,AB19-H19,0)</f>
        <v>0</v>
      </c>
      <c r="AZ19" s="17">
        <f>+IF(AC19&lt;&gt;0,AC19-I19,0)</f>
        <v>0</v>
      </c>
      <c r="BA19" s="17">
        <f>+IF(AD19&lt;&gt;0,AD19-J19,0)</f>
        <v>0</v>
      </c>
      <c r="BB19" s="18">
        <f>+IF(AE19&lt;&gt;0,AE19-K19,0)</f>
        <v>0</v>
      </c>
      <c r="BC19" s="18">
        <f t="shared" si="63"/>
        <v>0</v>
      </c>
      <c r="BD19" s="18">
        <f>+IF(AG19&lt;&gt;0,AG19-M19,0)</f>
        <v>0</v>
      </c>
      <c r="BE19" s="18">
        <f t="shared" si="64"/>
        <v>0</v>
      </c>
      <c r="BF19" s="18">
        <f>+IF(AI19&lt;&gt;0,-O19,0)</f>
        <v>0</v>
      </c>
      <c r="BG19" s="18">
        <f t="shared" si="65"/>
        <v>0</v>
      </c>
      <c r="BH19" s="18">
        <f t="shared" si="66"/>
        <v>0</v>
      </c>
      <c r="BI19" s="22">
        <f>+IF(AO19&lt;&gt;0,AO19-R19,0)</f>
        <v>0</v>
      </c>
      <c r="BJ19" s="22">
        <f t="shared" si="67"/>
        <v>0</v>
      </c>
      <c r="BK19" s="22">
        <f t="shared" si="49"/>
        <v>0</v>
      </c>
      <c r="BL19" s="21">
        <f t="shared" si="49"/>
        <v>0</v>
      </c>
      <c r="BN19" s="23">
        <f t="shared" si="0"/>
        <v>0</v>
      </c>
      <c r="BO19" s="23">
        <f>+SUM(AT19:AU19,AW19:AX19,AZ19:BA19)-BL19</f>
        <v>0</v>
      </c>
      <c r="BP19" s="24">
        <v>0</v>
      </c>
      <c r="BQ19" s="24">
        <v>0</v>
      </c>
    </row>
    <row r="20" spans="1:69" x14ac:dyDescent="0.15">
      <c r="B20" s="4" t="s">
        <v>47</v>
      </c>
      <c r="C20" s="25">
        <f>+SUM(C16:C19)</f>
        <v>358.13715052100002</v>
      </c>
      <c r="D20" s="25">
        <f t="shared" ref="D20:Q20" si="68">+SUM(D16:D19)</f>
        <v>0</v>
      </c>
      <c r="E20" s="26">
        <f t="shared" si="68"/>
        <v>358.13715052100002</v>
      </c>
      <c r="F20" s="25">
        <f t="shared" si="68"/>
        <v>456.69236421900001</v>
      </c>
      <c r="G20" s="25">
        <f>+SUM(G16:G19)</f>
        <v>51.520039000000004</v>
      </c>
      <c r="H20" s="26">
        <f t="shared" ref="H20" si="69">+SUM(H16:H19)</f>
        <v>508.21240321900001</v>
      </c>
      <c r="I20" s="25">
        <f t="shared" si="68"/>
        <v>648.31179417600015</v>
      </c>
      <c r="J20" s="25">
        <f>+SUM(J16:J19)</f>
        <v>74.122611000000006</v>
      </c>
      <c r="K20" s="26">
        <f t="shared" ref="K20:L20" si="70">+SUM(K16:K19)</f>
        <v>722.43440517600015</v>
      </c>
      <c r="L20" s="26">
        <f t="shared" si="70"/>
        <v>10.773593816000005</v>
      </c>
      <c r="M20" s="26">
        <f t="shared" si="68"/>
        <v>7.3808548160000065</v>
      </c>
      <c r="N20" s="25">
        <f t="shared" si="68"/>
        <v>3.3927390000000002</v>
      </c>
      <c r="O20" s="26">
        <f t="shared" si="68"/>
        <v>0.44247147999999992</v>
      </c>
      <c r="P20" s="26">
        <f t="shared" si="68"/>
        <v>3.8352104799999998</v>
      </c>
      <c r="Q20" s="25">
        <f t="shared" si="68"/>
        <v>125.64264999999999</v>
      </c>
      <c r="R20" s="15">
        <f>+SUM(E20,H20,K20,M20,P20)</f>
        <v>1600.0000242120002</v>
      </c>
      <c r="S20" s="15">
        <f t="shared" si="44"/>
        <v>1599.5575527320002</v>
      </c>
      <c r="T20" s="15">
        <f>+SUM(C20:D20,F20:G20,I20:J20,M20)</f>
        <v>1596.1648137320001</v>
      </c>
      <c r="U20" s="16">
        <f>+SUM(C20:D20,F20:G20,I20:J20)</f>
        <v>1588.7839589160001</v>
      </c>
      <c r="W20" s="27">
        <f>+SUM(W16:W19)</f>
        <v>82.376658053</v>
      </c>
      <c r="X20" s="27">
        <f t="shared" ref="X20:AO20" si="71">+SUM(X16:X19)</f>
        <v>0</v>
      </c>
      <c r="Y20" s="28">
        <f t="shared" si="71"/>
        <v>82.376658053</v>
      </c>
      <c r="Z20" s="27">
        <f t="shared" si="71"/>
        <v>106.10180140800001</v>
      </c>
      <c r="AA20" s="27">
        <f t="shared" si="71"/>
        <v>10.568387159999999</v>
      </c>
      <c r="AB20" s="28">
        <f t="shared" si="71"/>
        <v>116.67018856800001</v>
      </c>
      <c r="AC20" s="27">
        <f t="shared" si="71"/>
        <v>152.011221017</v>
      </c>
      <c r="AD20" s="27">
        <f t="shared" si="71"/>
        <v>15.055231920000002</v>
      </c>
      <c r="AE20" s="28">
        <f t="shared" si="71"/>
        <v>167.06645293700001</v>
      </c>
      <c r="AF20" s="28">
        <f t="shared" si="71"/>
        <v>9.6429957829999999</v>
      </c>
      <c r="AG20" s="28">
        <f t="shared" si="71"/>
        <v>8.7540537829999998</v>
      </c>
      <c r="AH20" s="28">
        <f t="shared" si="71"/>
        <v>0.88894200000000001</v>
      </c>
      <c r="AI20" s="29">
        <f t="shared" si="71"/>
        <v>-7.9283083230000004</v>
      </c>
      <c r="AJ20" s="28">
        <f t="shared" si="71"/>
        <v>-8.8172503229999997</v>
      </c>
      <c r="AK20" s="29">
        <f t="shared" si="71"/>
        <v>35.490909726999995</v>
      </c>
      <c r="AL20" s="29">
        <f t="shared" si="71"/>
        <v>-25.623619080000001</v>
      </c>
      <c r="AM20" s="28">
        <f t="shared" si="71"/>
        <v>9.8672906469999937</v>
      </c>
      <c r="AN20" s="18">
        <f t="shared" si="46"/>
        <v>1.050040323999994</v>
      </c>
      <c r="AO20" s="20">
        <f t="shared" si="71"/>
        <v>376.80633566500001</v>
      </c>
      <c r="AP20" s="20">
        <f t="shared" si="47"/>
        <v>375.756295341</v>
      </c>
      <c r="AQ20" s="20">
        <f t="shared" si="48"/>
        <v>374.86735334100001</v>
      </c>
      <c r="AR20" s="46">
        <f t="shared" si="62"/>
        <v>366.11329955799999</v>
      </c>
      <c r="AT20" s="27">
        <f>+SUM(AT16:AT19)</f>
        <v>-2.8024068200000158</v>
      </c>
      <c r="AU20" s="27">
        <f t="shared" ref="AU20:BG20" si="72">+SUM(AU16:AU19)</f>
        <v>0</v>
      </c>
      <c r="AV20" s="28">
        <f t="shared" si="72"/>
        <v>-2.8024068200000158</v>
      </c>
      <c r="AW20" s="27">
        <f t="shared" si="72"/>
        <v>-4.4367804389999748</v>
      </c>
      <c r="AX20" s="27">
        <f t="shared" si="72"/>
        <v>-0.63595684000000219</v>
      </c>
      <c r="AY20" s="28">
        <f t="shared" si="72"/>
        <v>-5.0727372789999805</v>
      </c>
      <c r="AZ20" s="27">
        <f t="shared" si="72"/>
        <v>-3.1152318420000142</v>
      </c>
      <c r="BA20" s="27">
        <f t="shared" si="72"/>
        <v>-0.25270307999999808</v>
      </c>
      <c r="BB20" s="28">
        <f t="shared" si="72"/>
        <v>-3.3679349220000177</v>
      </c>
      <c r="BC20" s="28">
        <f t="shared" si="72"/>
        <v>7.5669103859999982</v>
      </c>
      <c r="BD20" s="28">
        <f t="shared" si="72"/>
        <v>7.5261531359999978</v>
      </c>
      <c r="BE20" s="28">
        <f t="shared" si="72"/>
        <v>4.0757249999999967E-2</v>
      </c>
      <c r="BF20" s="28">
        <f t="shared" si="72"/>
        <v>-0.18446536999999999</v>
      </c>
      <c r="BG20" s="28">
        <f t="shared" si="72"/>
        <v>1.050040323999994</v>
      </c>
      <c r="BH20" s="28">
        <f>+SUM(BH16:BH19)</f>
        <v>0.86557495399999407</v>
      </c>
      <c r="BI20" s="22">
        <f t="shared" ref="BI20:BL20" si="73">+SUM(BI16:BI19)</f>
        <v>-2.8105936810000571</v>
      </c>
      <c r="BJ20" s="22">
        <f t="shared" si="73"/>
        <v>-3.6761686350000105</v>
      </c>
      <c r="BK20" s="22">
        <f t="shared" si="73"/>
        <v>-3.7169258850000233</v>
      </c>
      <c r="BL20" s="21">
        <f t="shared" si="73"/>
        <v>-11.243079021000028</v>
      </c>
      <c r="BN20" s="23">
        <f t="shared" si="0"/>
        <v>3.5083047578154947E-14</v>
      </c>
      <c r="BO20" s="23">
        <f>+SUM(AT20:AU20,AW20:AX20,AZ20:BA20)-BL20</f>
        <v>2.3092638912203256E-14</v>
      </c>
      <c r="BP20" s="12"/>
      <c r="BQ20" s="12"/>
    </row>
    <row r="21" spans="1:69" x14ac:dyDescent="0.15">
      <c r="U21" s="47"/>
      <c r="W21" s="30"/>
      <c r="X21" s="30"/>
      <c r="Z21" s="30"/>
      <c r="AA21" s="30"/>
      <c r="AC21" s="30"/>
      <c r="AD21" s="30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47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47"/>
      <c r="BN21" s="48"/>
      <c r="BO21" s="48"/>
    </row>
    <row r="22" spans="1:69" ht="15" x14ac:dyDescent="0.25">
      <c r="B22" s="49" t="s">
        <v>48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1">
        <v>1600</v>
      </c>
      <c r="S22" s="51"/>
      <c r="T22" s="51"/>
      <c r="U22" s="52"/>
      <c r="W22" s="2"/>
      <c r="X22" s="2"/>
      <c r="Z22" s="2"/>
      <c r="AA22" s="2"/>
      <c r="AC22" s="2"/>
      <c r="AD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9" x14ac:dyDescent="0.15">
      <c r="W23" s="2"/>
      <c r="X23" s="2"/>
      <c r="Z23" s="2"/>
      <c r="AA23" s="2"/>
      <c r="AC23" s="2"/>
      <c r="AD23" s="2"/>
      <c r="AG23" s="2"/>
      <c r="AH23" s="2"/>
      <c r="AI23" s="2"/>
      <c r="AJ23" s="2"/>
      <c r="AK23" s="2"/>
      <c r="AL23" s="2"/>
      <c r="AM23" s="2"/>
      <c r="AN23" s="2"/>
      <c r="AO23" s="18"/>
      <c r="AP23" s="18"/>
      <c r="AQ23" s="2"/>
      <c r="AR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9" x14ac:dyDescent="0.15">
      <c r="B24" s="49" t="s">
        <v>49</v>
      </c>
      <c r="C24" s="50" t="s">
        <v>50</v>
      </c>
      <c r="D24" s="50" t="s">
        <v>51</v>
      </c>
      <c r="E24" s="50"/>
      <c r="F24" s="50" t="s">
        <v>50</v>
      </c>
      <c r="G24" s="50" t="s">
        <v>51</v>
      </c>
      <c r="H24" s="50"/>
      <c r="I24" s="50" t="s">
        <v>50</v>
      </c>
      <c r="J24" s="50" t="s">
        <v>51</v>
      </c>
      <c r="K24" s="50"/>
      <c r="L24" s="50"/>
      <c r="M24" s="50" t="s">
        <v>51</v>
      </c>
      <c r="N24" s="50"/>
      <c r="O24" s="50"/>
      <c r="P24" s="50" t="s">
        <v>51</v>
      </c>
      <c r="Q24" s="50" t="s">
        <v>51</v>
      </c>
      <c r="R24" s="50" t="s">
        <v>50</v>
      </c>
      <c r="S24" s="50"/>
      <c r="T24" s="50"/>
      <c r="U24" s="52" t="s">
        <v>50</v>
      </c>
      <c r="W24" s="2"/>
      <c r="X24" s="2"/>
      <c r="Z24" s="2"/>
      <c r="AA24" s="2"/>
      <c r="AC24" s="2"/>
      <c r="AD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9" x14ac:dyDescent="0.15">
      <c r="W25" s="2"/>
      <c r="X25" s="2"/>
      <c r="Z25" s="2"/>
      <c r="AA25" s="2"/>
      <c r="AC25" s="2"/>
      <c r="AD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9" x14ac:dyDescent="0.15">
      <c r="B26" s="49" t="s">
        <v>52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 t="s">
        <v>53</v>
      </c>
      <c r="S26" s="50"/>
      <c r="T26" s="50"/>
      <c r="U26" s="52"/>
      <c r="W26" s="2"/>
      <c r="X26" s="2"/>
      <c r="Z26" s="2"/>
      <c r="AA26" s="2"/>
      <c r="AC26" s="2"/>
      <c r="AD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9" x14ac:dyDescent="0.15">
      <c r="W27" s="2"/>
      <c r="X27" s="2"/>
      <c r="Z27" s="2"/>
      <c r="AA27" s="2"/>
      <c r="AC27" s="2"/>
      <c r="AD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1:69" x14ac:dyDescent="0.15">
      <c r="A28" s="4"/>
      <c r="B28" s="4" t="s">
        <v>0</v>
      </c>
      <c r="W28" s="5" t="s">
        <v>1</v>
      </c>
      <c r="X28" s="2"/>
      <c r="Z28" s="2"/>
      <c r="AA28" s="2"/>
      <c r="AC28" s="2"/>
      <c r="AD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T28" s="5" t="s">
        <v>2</v>
      </c>
      <c r="AU28" s="5"/>
      <c r="AV28" s="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9" ht="42" x14ac:dyDescent="0.15">
      <c r="B29" s="53"/>
      <c r="C29" s="7" t="s">
        <v>4</v>
      </c>
      <c r="D29" s="8" t="s">
        <v>5</v>
      </c>
      <c r="E29" s="8" t="s">
        <v>6</v>
      </c>
      <c r="F29" s="54" t="s">
        <v>7</v>
      </c>
      <c r="G29" s="8" t="s">
        <v>8</v>
      </c>
      <c r="H29" s="8" t="s">
        <v>9</v>
      </c>
      <c r="I29" s="54" t="s">
        <v>10</v>
      </c>
      <c r="J29" s="8" t="s">
        <v>11</v>
      </c>
      <c r="K29" s="8" t="s">
        <v>12</v>
      </c>
      <c r="L29" s="8" t="s">
        <v>13</v>
      </c>
      <c r="M29" s="55" t="s">
        <v>14</v>
      </c>
      <c r="N29" s="55"/>
      <c r="O29" s="8" t="s">
        <v>16</v>
      </c>
      <c r="P29" s="55" t="s">
        <v>54</v>
      </c>
      <c r="Q29" s="55" t="s">
        <v>55</v>
      </c>
      <c r="R29" s="7" t="s">
        <v>19</v>
      </c>
      <c r="S29" s="8" t="s">
        <v>20</v>
      </c>
      <c r="T29" s="7"/>
      <c r="U29" s="55" t="s">
        <v>56</v>
      </c>
      <c r="W29" s="10" t="s">
        <v>4</v>
      </c>
      <c r="X29" s="11" t="s">
        <v>23</v>
      </c>
      <c r="Y29" s="11" t="s">
        <v>6</v>
      </c>
      <c r="Z29" s="10" t="s">
        <v>7</v>
      </c>
      <c r="AA29" s="11" t="s">
        <v>24</v>
      </c>
      <c r="AB29" s="11" t="s">
        <v>9</v>
      </c>
      <c r="AC29" s="10" t="s">
        <v>10</v>
      </c>
      <c r="AD29" s="11" t="s">
        <v>25</v>
      </c>
      <c r="AE29" s="11" t="s">
        <v>12</v>
      </c>
      <c r="AF29" s="11" t="s">
        <v>13</v>
      </c>
      <c r="AG29" s="56" t="s">
        <v>14</v>
      </c>
      <c r="AH29" s="11" t="s">
        <v>26</v>
      </c>
      <c r="AI29" s="11" t="s">
        <v>17</v>
      </c>
      <c r="AJ29" s="11" t="s">
        <v>27</v>
      </c>
      <c r="AK29" s="11" t="s">
        <v>28</v>
      </c>
      <c r="AL29" s="11" t="s">
        <v>29</v>
      </c>
      <c r="AM29" s="11" t="s">
        <v>30</v>
      </c>
      <c r="AN29" s="11" t="s">
        <v>31</v>
      </c>
      <c r="AO29" s="56" t="s">
        <v>19</v>
      </c>
      <c r="AP29" s="11" t="s">
        <v>20</v>
      </c>
      <c r="AQ29" s="56"/>
      <c r="AR29" s="56" t="s">
        <v>56</v>
      </c>
      <c r="AT29" s="56" t="s">
        <v>4</v>
      </c>
      <c r="AU29" s="11" t="s">
        <v>33</v>
      </c>
      <c r="AV29" s="11" t="s">
        <v>6</v>
      </c>
      <c r="AW29" s="10" t="s">
        <v>7</v>
      </c>
      <c r="AX29" s="11" t="s">
        <v>34</v>
      </c>
      <c r="AY29" s="11" t="s">
        <v>9</v>
      </c>
      <c r="AZ29" s="10" t="s">
        <v>10</v>
      </c>
      <c r="BA29" s="11" t="s">
        <v>35</v>
      </c>
      <c r="BB29" s="11" t="s">
        <v>12</v>
      </c>
      <c r="BC29" s="11" t="s">
        <v>13</v>
      </c>
      <c r="BD29" s="10" t="s">
        <v>14</v>
      </c>
      <c r="BE29" s="11" t="s">
        <v>36</v>
      </c>
      <c r="BF29" s="11" t="s">
        <v>37</v>
      </c>
      <c r="BG29" s="11" t="s">
        <v>38</v>
      </c>
      <c r="BH29" s="11" t="s">
        <v>31</v>
      </c>
      <c r="BI29" s="56" t="s">
        <v>19</v>
      </c>
      <c r="BJ29" s="11" t="s">
        <v>20</v>
      </c>
      <c r="BK29" s="56"/>
      <c r="BL29" s="56" t="s">
        <v>56</v>
      </c>
    </row>
    <row r="30" spans="1:69" x14ac:dyDescent="0.15">
      <c r="B30" s="1" t="s">
        <v>40</v>
      </c>
      <c r="C30" s="57">
        <v>0.74457294961688392</v>
      </c>
      <c r="D30" s="58" t="s">
        <v>57</v>
      </c>
      <c r="E30" s="59">
        <f>+C30</f>
        <v>0.74457294961688392</v>
      </c>
      <c r="F30" s="57">
        <v>0.76360713608710706</v>
      </c>
      <c r="G30" s="57">
        <v>0.92601596014385701</v>
      </c>
      <c r="H30" s="60">
        <v>0.77641004339538</v>
      </c>
      <c r="I30" s="57">
        <v>0.78934069736087553</v>
      </c>
      <c r="J30" s="57">
        <v>0.84708496506340714</v>
      </c>
      <c r="K30" s="60">
        <v>0.79430802897116082</v>
      </c>
      <c r="L30" s="61"/>
      <c r="M30" s="61"/>
      <c r="N30" s="61"/>
      <c r="O30" s="61"/>
      <c r="P30" s="61"/>
      <c r="Q30" s="61"/>
      <c r="R30" s="62">
        <v>0.76651098454110922</v>
      </c>
      <c r="S30" s="61"/>
      <c r="T30" s="62"/>
      <c r="U30" s="62">
        <v>0.76991928345772043</v>
      </c>
      <c r="W30" s="57">
        <v>0.72022259812209422</v>
      </c>
      <c r="X30" s="57" t="s">
        <v>57</v>
      </c>
      <c r="Y30" s="59">
        <f>+W30</f>
        <v>0.72022259812209422</v>
      </c>
      <c r="Z30" s="57">
        <v>0.75493380027873058</v>
      </c>
      <c r="AA30" s="57">
        <v>0.87467802115611359</v>
      </c>
      <c r="AB30" s="59">
        <v>0.76441325536336313</v>
      </c>
      <c r="AC30" s="57">
        <v>0.79224997697964217</v>
      </c>
      <c r="AD30" s="57">
        <v>0.82709658250709239</v>
      </c>
      <c r="AE30" s="59">
        <v>0.79526934948034222</v>
      </c>
      <c r="AF30" s="61"/>
      <c r="AG30" s="59">
        <v>0.51592810189644056</v>
      </c>
      <c r="AH30" s="61"/>
      <c r="AI30" s="59">
        <v>0.6208299773938073</v>
      </c>
      <c r="AJ30" s="61"/>
      <c r="AK30" s="59">
        <v>0.80124582962170832</v>
      </c>
      <c r="AL30" s="61"/>
      <c r="AM30" s="61"/>
      <c r="AN30" s="61"/>
      <c r="AO30" s="62">
        <v>0.76078578915438411</v>
      </c>
      <c r="AP30" s="61"/>
      <c r="AQ30" s="62"/>
      <c r="AR30" s="59">
        <v>0.76207312617470579</v>
      </c>
      <c r="AT30" s="59">
        <f>+IF(W30&lt;&gt;0,W30-C30,0)</f>
        <v>-2.4350351494789702E-2</v>
      </c>
      <c r="AU30" s="59" t="s">
        <v>57</v>
      </c>
      <c r="AV30" s="59">
        <f>+IF(Y30&lt;&gt;0,Y30-E30,0)</f>
        <v>-2.4350351494789702E-2</v>
      </c>
      <c r="AW30" s="59">
        <f>+IF(Z30&lt;&gt;0,Z30-F30,0)</f>
        <v>-8.6733358083764811E-3</v>
      </c>
      <c r="AX30" s="59">
        <f>+IF(AA30&lt;&gt;0,AA30-G30,0)</f>
        <v>-5.1337938987743414E-2</v>
      </c>
      <c r="AY30" s="59">
        <f>+IF(AB30&lt;&gt;0,AB30-H30,0)</f>
        <v>-1.199678803201687E-2</v>
      </c>
      <c r="AZ30" s="59">
        <f>+IF(AC30&lt;&gt;0,AC30-I30,0)</f>
        <v>2.9092796187666359E-3</v>
      </c>
      <c r="BA30" s="59">
        <f>+IF(AD30&lt;&gt;0,AD30-J30,0)</f>
        <v>-1.9988382556314743E-2</v>
      </c>
      <c r="BB30" s="59">
        <f>+IF(AE30&lt;&gt;0,AE30-K30,0)</f>
        <v>9.6132050918140699E-4</v>
      </c>
      <c r="BC30" s="59"/>
      <c r="BD30" s="61"/>
      <c r="BE30" s="61"/>
      <c r="BF30" s="61"/>
      <c r="BG30" s="61"/>
      <c r="BH30" s="61"/>
      <c r="BI30" s="62">
        <f>+IF(AO30&lt;&gt;0,AO30-R30,0)</f>
        <v>-5.7251953867251126E-3</v>
      </c>
      <c r="BJ30" s="61"/>
      <c r="BK30" s="62"/>
      <c r="BL30" s="59">
        <f t="shared" ref="BL30:BL33" si="74">+IF(AR30&lt;&gt;0,AR30-U30,0)</f>
        <v>-7.846157283014632E-3</v>
      </c>
    </row>
    <row r="31" spans="1:69" x14ac:dyDescent="0.15">
      <c r="B31" s="1" t="s">
        <v>41</v>
      </c>
      <c r="C31" s="57">
        <v>0.80379112739590997</v>
      </c>
      <c r="D31" s="58" t="s">
        <v>57</v>
      </c>
      <c r="E31" s="59">
        <f t="shared" ref="E31:E33" si="75">+C31</f>
        <v>0.80379112739590997</v>
      </c>
      <c r="F31" s="57">
        <v>0.81104032955672578</v>
      </c>
      <c r="G31" s="57">
        <v>0.92514651773315615</v>
      </c>
      <c r="H31" s="60">
        <v>0.82211680758630423</v>
      </c>
      <c r="I31" s="57">
        <v>0.82287183535902697</v>
      </c>
      <c r="J31" s="57">
        <v>0.84708474212446649</v>
      </c>
      <c r="K31" s="60">
        <v>0.8254683403913744</v>
      </c>
      <c r="L31" s="61"/>
      <c r="M31" s="61"/>
      <c r="N31" s="61"/>
      <c r="O31" s="61"/>
      <c r="P31" s="61"/>
      <c r="Q31" s="61"/>
      <c r="R31" s="62">
        <v>0.81067864664028588</v>
      </c>
      <c r="S31" s="61"/>
      <c r="T31" s="62"/>
      <c r="U31" s="62">
        <v>0.81441609557025996</v>
      </c>
      <c r="W31" s="57">
        <v>0</v>
      </c>
      <c r="X31" s="57" t="s">
        <v>57</v>
      </c>
      <c r="Y31" s="59">
        <f t="shared" ref="Y31:Y33" si="76">+W31</f>
        <v>0</v>
      </c>
      <c r="Z31" s="57">
        <v>0</v>
      </c>
      <c r="AA31" s="63"/>
      <c r="AB31" s="63"/>
      <c r="AC31" s="57">
        <v>0</v>
      </c>
      <c r="AD31" s="63"/>
      <c r="AE31" s="63"/>
      <c r="AF31" s="61"/>
      <c r="AG31" s="59">
        <v>0</v>
      </c>
      <c r="AH31" s="61"/>
      <c r="AI31" s="59">
        <v>0</v>
      </c>
      <c r="AJ31" s="61"/>
      <c r="AK31" s="59">
        <v>0</v>
      </c>
      <c r="AL31" s="61"/>
      <c r="AM31" s="61"/>
      <c r="AN31" s="61"/>
      <c r="AO31" s="62">
        <v>0</v>
      </c>
      <c r="AP31" s="61"/>
      <c r="AQ31" s="62"/>
      <c r="AR31" s="59">
        <v>0</v>
      </c>
      <c r="AT31" s="59">
        <f>+IF(W31&lt;&gt;0,W31-C31,0)</f>
        <v>0</v>
      </c>
      <c r="AU31" s="59" t="s">
        <v>57</v>
      </c>
      <c r="AV31" s="59">
        <f>+IF(Y31&lt;&gt;0,Y31-E31,0)</f>
        <v>0</v>
      </c>
      <c r="AW31" s="59">
        <f>+IF(Z31&lt;&gt;0,Z31-F31,0)</f>
        <v>0</v>
      </c>
      <c r="AX31" s="59">
        <f>+IF(AA31&lt;&gt;0,AA31-G31,0)</f>
        <v>0</v>
      </c>
      <c r="AY31" s="59">
        <f>+IF(AB31&lt;&gt;0,AB31-H31,0)</f>
        <v>0</v>
      </c>
      <c r="AZ31" s="59">
        <f>+IF(AC31&lt;&gt;0,AC31-I31,0)</f>
        <v>0</v>
      </c>
      <c r="BA31" s="59">
        <f>+IF(AD31&lt;&gt;0,AD31-J31,0)</f>
        <v>0</v>
      </c>
      <c r="BB31" s="59">
        <f>+IF(AE31&lt;&gt;0,AE31-K31,0)</f>
        <v>0</v>
      </c>
      <c r="BC31" s="59"/>
      <c r="BD31" s="61"/>
      <c r="BE31" s="61"/>
      <c r="BF31" s="61"/>
      <c r="BG31" s="61"/>
      <c r="BH31" s="61"/>
      <c r="BI31" s="62">
        <f>+IF(AO31&lt;&gt;0,AO31-R31,0)</f>
        <v>0</v>
      </c>
      <c r="BJ31" s="61"/>
      <c r="BK31" s="62"/>
      <c r="BL31" s="59">
        <f t="shared" si="74"/>
        <v>0</v>
      </c>
    </row>
    <row r="32" spans="1:69" x14ac:dyDescent="0.15">
      <c r="B32" s="1" t="s">
        <v>42</v>
      </c>
      <c r="C32" s="57">
        <v>0.83531800117925681</v>
      </c>
      <c r="D32" s="58" t="s">
        <v>57</v>
      </c>
      <c r="E32" s="59">
        <f t="shared" si="75"/>
        <v>0.83531800117925681</v>
      </c>
      <c r="F32" s="57">
        <v>0.82840252454308005</v>
      </c>
      <c r="G32" s="57">
        <v>0.92514651773315615</v>
      </c>
      <c r="H32" s="60">
        <v>0.83773368360488343</v>
      </c>
      <c r="I32" s="57">
        <v>0.8362156945295085</v>
      </c>
      <c r="J32" s="57">
        <v>0.84708474212446649</v>
      </c>
      <c r="K32" s="60">
        <v>0.8373686807999049</v>
      </c>
      <c r="L32" s="61"/>
      <c r="M32" s="61"/>
      <c r="N32" s="61"/>
      <c r="O32" s="61"/>
      <c r="P32" s="61"/>
      <c r="Q32" s="61"/>
      <c r="R32" s="62">
        <v>0.82796815373307187</v>
      </c>
      <c r="S32" s="61"/>
      <c r="T32" s="62"/>
      <c r="U32" s="62">
        <v>0.83355224064658728</v>
      </c>
      <c r="W32" s="57">
        <v>0</v>
      </c>
      <c r="X32" s="57" t="s">
        <v>57</v>
      </c>
      <c r="Y32" s="59">
        <f t="shared" si="76"/>
        <v>0</v>
      </c>
      <c r="Z32" s="57">
        <v>0</v>
      </c>
      <c r="AA32" s="63"/>
      <c r="AB32" s="63"/>
      <c r="AC32" s="57">
        <v>0</v>
      </c>
      <c r="AD32" s="63"/>
      <c r="AE32" s="63"/>
      <c r="AF32" s="61"/>
      <c r="AG32" s="59">
        <v>0</v>
      </c>
      <c r="AH32" s="61"/>
      <c r="AI32" s="59">
        <v>0</v>
      </c>
      <c r="AJ32" s="61"/>
      <c r="AK32" s="59">
        <v>0</v>
      </c>
      <c r="AL32" s="61"/>
      <c r="AM32" s="61"/>
      <c r="AN32" s="61"/>
      <c r="AO32" s="62">
        <v>0</v>
      </c>
      <c r="AP32" s="61"/>
      <c r="AQ32" s="62"/>
      <c r="AR32" s="59">
        <v>0</v>
      </c>
      <c r="AT32" s="59">
        <f>+IF(W32&lt;&gt;0,W32-C32,0)</f>
        <v>0</v>
      </c>
      <c r="AU32" s="59" t="s">
        <v>57</v>
      </c>
      <c r="AV32" s="59">
        <f>+IF(Y32&lt;&gt;0,Y32-E32,0)</f>
        <v>0</v>
      </c>
      <c r="AW32" s="59">
        <f>+IF(Z32&lt;&gt;0,Z32-F32,0)</f>
        <v>0</v>
      </c>
      <c r="AX32" s="59">
        <f>+IF(AA32&lt;&gt;0,AA32-G32,0)</f>
        <v>0</v>
      </c>
      <c r="AY32" s="59">
        <f>+IF(AB32&lt;&gt;0,AB32-H32,0)</f>
        <v>0</v>
      </c>
      <c r="AZ32" s="59">
        <f>+IF(AC32&lt;&gt;0,AC32-I32,0)</f>
        <v>0</v>
      </c>
      <c r="BA32" s="59">
        <f>+IF(AD32&lt;&gt;0,AD32-J32,0)</f>
        <v>0</v>
      </c>
      <c r="BB32" s="59">
        <f>+IF(AE32&lt;&gt;0,AE32-K32,0)</f>
        <v>0</v>
      </c>
      <c r="BC32" s="59"/>
      <c r="BD32" s="61"/>
      <c r="BE32" s="61"/>
      <c r="BF32" s="61"/>
      <c r="BG32" s="61"/>
      <c r="BH32" s="61"/>
      <c r="BI32" s="62">
        <f>+IF(AO32&lt;&gt;0,AO32-R32,0)</f>
        <v>0</v>
      </c>
      <c r="BJ32" s="61"/>
      <c r="BK32" s="62"/>
      <c r="BL32" s="59">
        <f t="shared" si="74"/>
        <v>0</v>
      </c>
    </row>
    <row r="33" spans="2:64" x14ac:dyDescent="0.15">
      <c r="B33" s="1" t="s">
        <v>43</v>
      </c>
      <c r="C33" s="57">
        <v>0.78113326681659356</v>
      </c>
      <c r="D33" s="58" t="s">
        <v>57</v>
      </c>
      <c r="E33" s="59">
        <f t="shared" si="75"/>
        <v>0.78113326681659356</v>
      </c>
      <c r="F33" s="57">
        <v>0.78592784174545072</v>
      </c>
      <c r="G33" s="57">
        <v>0.92111226196366791</v>
      </c>
      <c r="H33" s="60">
        <v>0.79802692429604238</v>
      </c>
      <c r="I33" s="57">
        <v>0.80816290014051007</v>
      </c>
      <c r="J33" s="57">
        <v>0.84708474212446649</v>
      </c>
      <c r="K33" s="60">
        <v>0.81222047267583131</v>
      </c>
      <c r="L33" s="61"/>
      <c r="M33" s="61"/>
      <c r="N33" s="61"/>
      <c r="O33" s="61"/>
      <c r="P33" s="61"/>
      <c r="Q33" s="61"/>
      <c r="R33" s="62">
        <v>0.79071586680473904</v>
      </c>
      <c r="S33" s="61"/>
      <c r="T33" s="62"/>
      <c r="U33" s="62">
        <v>0.79448534232828971</v>
      </c>
      <c r="W33" s="57">
        <v>0</v>
      </c>
      <c r="X33" s="57" t="s">
        <v>57</v>
      </c>
      <c r="Y33" s="59">
        <f t="shared" si="76"/>
        <v>0</v>
      </c>
      <c r="Z33" s="57">
        <v>0</v>
      </c>
      <c r="AA33" s="63"/>
      <c r="AB33" s="63"/>
      <c r="AC33" s="57">
        <v>0</v>
      </c>
      <c r="AD33" s="63"/>
      <c r="AE33" s="63"/>
      <c r="AF33" s="61"/>
      <c r="AG33" s="59">
        <v>0</v>
      </c>
      <c r="AH33" s="61"/>
      <c r="AI33" s="59">
        <v>0</v>
      </c>
      <c r="AJ33" s="61"/>
      <c r="AK33" s="59">
        <v>0</v>
      </c>
      <c r="AL33" s="61"/>
      <c r="AM33" s="61"/>
      <c r="AN33" s="61"/>
      <c r="AO33" s="62">
        <v>0</v>
      </c>
      <c r="AP33" s="61"/>
      <c r="AQ33" s="62"/>
      <c r="AR33" s="59">
        <v>0</v>
      </c>
      <c r="AT33" s="59">
        <f>+IF(W33&lt;&gt;0,W33-C33,0)</f>
        <v>0</v>
      </c>
      <c r="AU33" s="59" t="s">
        <v>57</v>
      </c>
      <c r="AV33" s="59">
        <f>+IF(Y33&lt;&gt;0,Y33-E33,0)</f>
        <v>0</v>
      </c>
      <c r="AW33" s="59">
        <f>+IF(Z33&lt;&gt;0,Z33-F33,0)</f>
        <v>0</v>
      </c>
      <c r="AX33" s="59">
        <f>+IF(AA33&lt;&gt;0,AA33-G33,0)</f>
        <v>0</v>
      </c>
      <c r="AY33" s="59">
        <f>+IF(AB33&lt;&gt;0,AB33-H33,0)</f>
        <v>0</v>
      </c>
      <c r="AZ33" s="59">
        <f>+IF(AC33&lt;&gt;0,AC33-I33,0)</f>
        <v>0</v>
      </c>
      <c r="BA33" s="59">
        <f>+IF(AD33&lt;&gt;0,AD33-J33,0)</f>
        <v>0</v>
      </c>
      <c r="BB33" s="59">
        <f>+IF(AE33&lt;&gt;0,AE33-K33,0)</f>
        <v>0</v>
      </c>
      <c r="BC33" s="59"/>
      <c r="BD33" s="61"/>
      <c r="BE33" s="61"/>
      <c r="BF33" s="61"/>
      <c r="BG33" s="61"/>
      <c r="BH33" s="61"/>
      <c r="BI33" s="62">
        <f>+IF(AO33&lt;&gt;0,AO33-R33,0)</f>
        <v>0</v>
      </c>
      <c r="BJ33" s="61"/>
      <c r="BK33" s="62"/>
      <c r="BL33" s="59">
        <f t="shared" si="74"/>
        <v>0</v>
      </c>
    </row>
    <row r="34" spans="2:64" x14ac:dyDescent="0.15">
      <c r="B34" s="4" t="s">
        <v>58</v>
      </c>
      <c r="C34" s="64"/>
      <c r="D34" s="64"/>
      <c r="E34" s="62"/>
      <c r="F34" s="64"/>
      <c r="G34" s="64"/>
      <c r="H34" s="62"/>
      <c r="I34" s="64"/>
      <c r="J34" s="64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W34" s="64"/>
      <c r="X34" s="64"/>
      <c r="Y34" s="62"/>
      <c r="Z34" s="64"/>
      <c r="AA34" s="64"/>
      <c r="AB34" s="62"/>
      <c r="AC34" s="64"/>
      <c r="AD34" s="64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</row>
    <row r="35" spans="2:64" x14ac:dyDescent="0.15">
      <c r="C35" s="65"/>
      <c r="D35" s="66"/>
      <c r="E35" s="1"/>
      <c r="F35" s="65"/>
      <c r="G35" s="65"/>
      <c r="I35" s="65"/>
      <c r="J35" s="65"/>
      <c r="W35" s="65"/>
      <c r="X35" s="65"/>
      <c r="Y35" s="1"/>
      <c r="Z35" s="65"/>
      <c r="AA35" s="65"/>
      <c r="AC35" s="65"/>
      <c r="AD35" s="65"/>
      <c r="AH35" s="2"/>
      <c r="AJ35" s="2"/>
      <c r="AL35" s="2"/>
      <c r="AM35" s="2"/>
      <c r="AN35" s="2"/>
      <c r="AP35" s="2"/>
      <c r="AR35" s="2"/>
      <c r="BD35" s="2"/>
      <c r="BE35" s="2"/>
      <c r="BF35" s="2"/>
      <c r="BG35" s="2"/>
      <c r="BH35" s="2"/>
      <c r="BJ35" s="2"/>
      <c r="BL35" s="2"/>
    </row>
    <row r="36" spans="2:64" x14ac:dyDescent="0.15">
      <c r="B36" s="1" t="s">
        <v>40</v>
      </c>
      <c r="C36" s="67">
        <v>0.75122695785984595</v>
      </c>
      <c r="D36" s="58" t="s">
        <v>57</v>
      </c>
      <c r="E36" s="59">
        <f t="shared" ref="E36:E39" si="77">+C36</f>
        <v>0.75122695785984595</v>
      </c>
      <c r="F36" s="67">
        <v>0.7736170141395623</v>
      </c>
      <c r="G36" s="67">
        <f>+G30</f>
        <v>0.92601596014385701</v>
      </c>
      <c r="H36" s="60">
        <v>0.7855146446355179</v>
      </c>
      <c r="I36" s="67">
        <v>0.79890247183384</v>
      </c>
      <c r="J36" s="67">
        <f>+J30</f>
        <v>0.84708496506340714</v>
      </c>
      <c r="K36" s="60">
        <v>0.80300488946113546</v>
      </c>
      <c r="L36" s="61"/>
      <c r="M36" s="61"/>
      <c r="N36" s="61"/>
      <c r="O36" s="61"/>
      <c r="P36" s="61"/>
      <c r="Q36" s="61"/>
      <c r="R36" s="62">
        <v>0.77478551553334585</v>
      </c>
      <c r="S36" s="61"/>
      <c r="T36" s="62"/>
      <c r="U36" s="62">
        <v>0.77888080915709645</v>
      </c>
      <c r="W36" s="67">
        <v>0.72022259812209422</v>
      </c>
      <c r="X36" s="67" t="s">
        <v>57</v>
      </c>
      <c r="Y36" s="59">
        <f t="shared" ref="Y36:Y39" si="78">+W36</f>
        <v>0.72022259812209422</v>
      </c>
      <c r="Z36" s="67">
        <v>0.75493380027873058</v>
      </c>
      <c r="AA36" s="67">
        <f>+AA30</f>
        <v>0.87467802115611359</v>
      </c>
      <c r="AB36" s="59">
        <f>+AB30</f>
        <v>0.76441325536336313</v>
      </c>
      <c r="AC36" s="67">
        <v>0.79224997697964217</v>
      </c>
      <c r="AD36" s="67">
        <f>+AD30</f>
        <v>0.82709658250709239</v>
      </c>
      <c r="AE36" s="59">
        <f>+AE30</f>
        <v>0.79526934948034222</v>
      </c>
      <c r="AF36" s="61"/>
      <c r="AG36" s="59">
        <v>0.51592810189644056</v>
      </c>
      <c r="AH36" s="61"/>
      <c r="AI36" s="59">
        <v>0.6208299773938073</v>
      </c>
      <c r="AJ36" s="61"/>
      <c r="AK36" s="59">
        <v>0.80124582962170832</v>
      </c>
      <c r="AL36" s="61"/>
      <c r="AM36" s="61"/>
      <c r="AN36" s="61"/>
      <c r="AO36" s="62">
        <v>0.76078578915438411</v>
      </c>
      <c r="AP36" s="61"/>
      <c r="AQ36" s="62"/>
      <c r="AR36" s="59">
        <v>0.76207312617470579</v>
      </c>
      <c r="AT36" s="59">
        <f>+IF(W36&lt;&gt;0,W36-C36,0)</f>
        <v>-3.100435973775173E-2</v>
      </c>
      <c r="AU36" s="59" t="s">
        <v>57</v>
      </c>
      <c r="AV36" s="59">
        <f>+IF(Y36&lt;&gt;0,Y36-E36,0)</f>
        <v>-3.100435973775173E-2</v>
      </c>
      <c r="AW36" s="59">
        <f>+IF(Z36&lt;&gt;0,Z36-F36,0)</f>
        <v>-1.8683213860831716E-2</v>
      </c>
      <c r="AX36" s="59">
        <f>+IF(AA36&lt;&gt;0,AA36-G36,0)</f>
        <v>-5.1337938987743414E-2</v>
      </c>
      <c r="AY36" s="59">
        <f>+IF(AB36&lt;&gt;0,AB36-H36,0)</f>
        <v>-2.1101389272154769E-2</v>
      </c>
      <c r="AZ36" s="59">
        <f>+IF(AC36&lt;&gt;0,AC36-I36,0)</f>
        <v>-6.6524948541978324E-3</v>
      </c>
      <c r="BA36" s="59">
        <f>+IF(AD36&lt;&gt;0,AD36-J36,0)</f>
        <v>-1.9988382556314743E-2</v>
      </c>
      <c r="BB36" s="59">
        <f>+IF(AE36&lt;&gt;0,AE36-K36,0)</f>
        <v>-7.7355399807932379E-3</v>
      </c>
      <c r="BC36" s="59"/>
      <c r="BD36" s="61"/>
      <c r="BE36" s="61"/>
      <c r="BF36" s="61"/>
      <c r="BG36" s="61"/>
      <c r="BH36" s="61"/>
      <c r="BI36" s="62">
        <f>+IF(AO36&lt;&gt;0,AO36-R36,0)</f>
        <v>-1.3999726378961741E-2</v>
      </c>
      <c r="BJ36" s="61"/>
      <c r="BK36" s="62"/>
      <c r="BL36" s="59">
        <f t="shared" ref="BL36:BL39" si="79">+IF(AR36&lt;&gt;0,AR36-U36,0)</f>
        <v>-1.6807682982390659E-2</v>
      </c>
    </row>
    <row r="37" spans="2:64" x14ac:dyDescent="0.15">
      <c r="B37" s="1" t="s">
        <v>41</v>
      </c>
      <c r="C37" s="67">
        <v>0.80890125792728151</v>
      </c>
      <c r="D37" s="58" t="s">
        <v>57</v>
      </c>
      <c r="E37" s="59">
        <f t="shared" si="77"/>
        <v>0.80890125792728151</v>
      </c>
      <c r="F37" s="67">
        <v>0.81972911803165094</v>
      </c>
      <c r="G37" s="67">
        <f t="shared" ref="G37:G39" si="80">+G31</f>
        <v>0.92514651773315615</v>
      </c>
      <c r="H37" s="60">
        <v>0.82986294195252197</v>
      </c>
      <c r="I37" s="67">
        <v>0.8317162430376609</v>
      </c>
      <c r="J37" s="67">
        <f t="shared" ref="J37:J39" si="81">+J31</f>
        <v>0.84708474212446649</v>
      </c>
      <c r="K37" s="60">
        <v>0.83334745641830199</v>
      </c>
      <c r="L37" s="61"/>
      <c r="M37" s="61"/>
      <c r="N37" s="61"/>
      <c r="O37" s="61"/>
      <c r="P37" s="61"/>
      <c r="Q37" s="61"/>
      <c r="R37" s="62">
        <v>0.81782522879036523</v>
      </c>
      <c r="S37" s="61"/>
      <c r="T37" s="62"/>
      <c r="U37" s="62">
        <v>0.82227675166646785</v>
      </c>
      <c r="W37" s="67">
        <v>0</v>
      </c>
      <c r="X37" s="67" t="s">
        <v>57</v>
      </c>
      <c r="Y37" s="59">
        <f t="shared" si="78"/>
        <v>0</v>
      </c>
      <c r="Z37" s="67">
        <v>0</v>
      </c>
      <c r="AA37" s="67">
        <f t="shared" ref="AA37:AB39" si="82">+AA31</f>
        <v>0</v>
      </c>
      <c r="AB37" s="59">
        <f t="shared" si="82"/>
        <v>0</v>
      </c>
      <c r="AC37" s="67">
        <v>0</v>
      </c>
      <c r="AD37" s="67">
        <f t="shared" ref="AD37:AE39" si="83">+AD31</f>
        <v>0</v>
      </c>
      <c r="AE37" s="59">
        <f t="shared" si="83"/>
        <v>0</v>
      </c>
      <c r="AF37" s="61"/>
      <c r="AG37" s="59">
        <v>0</v>
      </c>
      <c r="AH37" s="61"/>
      <c r="AI37" s="59">
        <v>0</v>
      </c>
      <c r="AJ37" s="61"/>
      <c r="AK37" s="59">
        <v>0</v>
      </c>
      <c r="AL37" s="61"/>
      <c r="AM37" s="61"/>
      <c r="AN37" s="61"/>
      <c r="AO37" s="62">
        <v>0</v>
      </c>
      <c r="AP37" s="61"/>
      <c r="AQ37" s="62"/>
      <c r="AR37" s="59">
        <v>0</v>
      </c>
      <c r="AT37" s="59">
        <f>+IF(W37&lt;&gt;0,W37-C37,0)</f>
        <v>0</v>
      </c>
      <c r="AU37" s="59" t="s">
        <v>57</v>
      </c>
      <c r="AV37" s="59">
        <f>+IF(Y37&lt;&gt;0,Y37-E37,0)</f>
        <v>0</v>
      </c>
      <c r="AW37" s="59">
        <f>+IF(Z37&lt;&gt;0,Z37-F37,0)</f>
        <v>0</v>
      </c>
      <c r="AX37" s="59">
        <f>+IF(AA37&lt;&gt;0,AA37-G37,0)</f>
        <v>0</v>
      </c>
      <c r="AY37" s="59">
        <f>+IF(AB37&lt;&gt;0,AB37-H37,0)</f>
        <v>0</v>
      </c>
      <c r="AZ37" s="59">
        <f>+IF(AC37&lt;&gt;0,AC37-I37,0)</f>
        <v>0</v>
      </c>
      <c r="BA37" s="59">
        <f>+IF(AD37&lt;&gt;0,AD37-J37,0)</f>
        <v>0</v>
      </c>
      <c r="BB37" s="59">
        <f>+IF(AE37&lt;&gt;0,AE37-K37,0)</f>
        <v>0</v>
      </c>
      <c r="BC37" s="59"/>
      <c r="BD37" s="61"/>
      <c r="BE37" s="61"/>
      <c r="BF37" s="61"/>
      <c r="BG37" s="61"/>
      <c r="BH37" s="61"/>
      <c r="BI37" s="62">
        <f>+IF(AO37&lt;&gt;0,AO37-R37,0)</f>
        <v>0</v>
      </c>
      <c r="BJ37" s="61"/>
      <c r="BK37" s="62"/>
      <c r="BL37" s="59">
        <f t="shared" si="79"/>
        <v>0</v>
      </c>
    </row>
    <row r="38" spans="2:64" x14ac:dyDescent="0.15">
      <c r="B38" s="1" t="s">
        <v>42</v>
      </c>
      <c r="C38" s="67">
        <v>0.84002466343002369</v>
      </c>
      <c r="D38" s="58" t="s">
        <v>57</v>
      </c>
      <c r="E38" s="59">
        <f t="shared" si="77"/>
        <v>0.84002466343002369</v>
      </c>
      <c r="F38" s="67">
        <v>0.83683007880266014</v>
      </c>
      <c r="G38" s="67">
        <f t="shared" si="80"/>
        <v>0.92514651773315615</v>
      </c>
      <c r="H38" s="60">
        <v>0.84526616103815455</v>
      </c>
      <c r="I38" s="67">
        <v>0.84483416732266781</v>
      </c>
      <c r="J38" s="67">
        <f t="shared" si="81"/>
        <v>0.84708474212446649</v>
      </c>
      <c r="K38" s="60">
        <v>0.84507048310515187</v>
      </c>
      <c r="L38" s="61"/>
      <c r="M38" s="61"/>
      <c r="N38" s="61"/>
      <c r="O38" s="61"/>
      <c r="P38" s="61"/>
      <c r="Q38" s="61"/>
      <c r="R38" s="62">
        <v>0.83489336346703846</v>
      </c>
      <c r="S38" s="61"/>
      <c r="T38" s="62"/>
      <c r="U38" s="62">
        <v>0.84114083526603323</v>
      </c>
      <c r="W38" s="67">
        <v>0</v>
      </c>
      <c r="X38" s="67" t="s">
        <v>57</v>
      </c>
      <c r="Y38" s="59">
        <f t="shared" si="78"/>
        <v>0</v>
      </c>
      <c r="Z38" s="67">
        <v>0</v>
      </c>
      <c r="AA38" s="67">
        <f t="shared" si="82"/>
        <v>0</v>
      </c>
      <c r="AB38" s="59">
        <f t="shared" si="82"/>
        <v>0</v>
      </c>
      <c r="AC38" s="67">
        <v>0</v>
      </c>
      <c r="AD38" s="67">
        <f t="shared" si="83"/>
        <v>0</v>
      </c>
      <c r="AE38" s="59">
        <f t="shared" si="83"/>
        <v>0</v>
      </c>
      <c r="AF38" s="61"/>
      <c r="AG38" s="59">
        <v>0</v>
      </c>
      <c r="AH38" s="61"/>
      <c r="AI38" s="59">
        <v>0</v>
      </c>
      <c r="AJ38" s="61"/>
      <c r="AK38" s="59">
        <v>0</v>
      </c>
      <c r="AL38" s="61"/>
      <c r="AM38" s="61"/>
      <c r="AN38" s="61"/>
      <c r="AO38" s="62">
        <v>0</v>
      </c>
      <c r="AP38" s="61"/>
      <c r="AQ38" s="62"/>
      <c r="AR38" s="59">
        <v>0</v>
      </c>
      <c r="AT38" s="59">
        <f>+IF(W38&lt;&gt;0,W38-C38,0)</f>
        <v>0</v>
      </c>
      <c r="AU38" s="59" t="s">
        <v>57</v>
      </c>
      <c r="AV38" s="59">
        <f>+IF(Y38&lt;&gt;0,Y38-E38,0)</f>
        <v>0</v>
      </c>
      <c r="AW38" s="59">
        <f>+IF(Z38&lt;&gt;0,Z38-F38,0)</f>
        <v>0</v>
      </c>
      <c r="AX38" s="59">
        <f>+IF(AA38&lt;&gt;0,AA38-G38,0)</f>
        <v>0</v>
      </c>
      <c r="AY38" s="59">
        <f>+IF(AB38&lt;&gt;0,AB38-H38,0)</f>
        <v>0</v>
      </c>
      <c r="AZ38" s="59">
        <f>+IF(AC38&lt;&gt;0,AC38-I38,0)</f>
        <v>0</v>
      </c>
      <c r="BA38" s="59">
        <f>+IF(AD38&lt;&gt;0,AD38-J38,0)</f>
        <v>0</v>
      </c>
      <c r="BB38" s="59">
        <f>+IF(AE38&lt;&gt;0,AE38-K38,0)</f>
        <v>0</v>
      </c>
      <c r="BC38" s="59"/>
      <c r="BD38" s="61"/>
      <c r="BE38" s="61"/>
      <c r="BF38" s="61"/>
      <c r="BG38" s="61"/>
      <c r="BH38" s="61"/>
      <c r="BI38" s="62">
        <f>+IF(AO38&lt;&gt;0,AO38-R38,0)</f>
        <v>0</v>
      </c>
      <c r="BJ38" s="61"/>
      <c r="BK38" s="62"/>
      <c r="BL38" s="59">
        <f t="shared" si="79"/>
        <v>0</v>
      </c>
    </row>
    <row r="39" spans="2:64" x14ac:dyDescent="0.15">
      <c r="B39" s="1" t="s">
        <v>43</v>
      </c>
      <c r="C39" s="67">
        <v>0.78699619213926042</v>
      </c>
      <c r="D39" s="58" t="s">
        <v>57</v>
      </c>
      <c r="E39" s="59">
        <f t="shared" si="77"/>
        <v>0.78699619213926042</v>
      </c>
      <c r="F39" s="67">
        <v>0.79544698562593796</v>
      </c>
      <c r="G39" s="67">
        <f t="shared" si="80"/>
        <v>0.92111226196366791</v>
      </c>
      <c r="H39" s="60">
        <v>0.80658666098795739</v>
      </c>
      <c r="I39" s="67">
        <v>0.8174693768397987</v>
      </c>
      <c r="J39" s="67">
        <f t="shared" si="81"/>
        <v>0.84708474212446649</v>
      </c>
      <c r="K39" s="60">
        <v>0.82052553205979106</v>
      </c>
      <c r="L39" s="61"/>
      <c r="M39" s="61"/>
      <c r="N39" s="61"/>
      <c r="O39" s="61"/>
      <c r="P39" s="61"/>
      <c r="Q39" s="61"/>
      <c r="R39" s="62">
        <v>0.79849302788077803</v>
      </c>
      <c r="S39" s="61"/>
      <c r="T39" s="62"/>
      <c r="U39" s="62">
        <v>0.80300380104262825</v>
      </c>
      <c r="W39" s="67">
        <v>0</v>
      </c>
      <c r="X39" s="67" t="s">
        <v>57</v>
      </c>
      <c r="Y39" s="59">
        <f t="shared" si="78"/>
        <v>0</v>
      </c>
      <c r="Z39" s="67">
        <v>0</v>
      </c>
      <c r="AA39" s="67">
        <f t="shared" si="82"/>
        <v>0</v>
      </c>
      <c r="AB39" s="59">
        <f t="shared" si="82"/>
        <v>0</v>
      </c>
      <c r="AC39" s="67">
        <v>0</v>
      </c>
      <c r="AD39" s="67">
        <f t="shared" si="83"/>
        <v>0</v>
      </c>
      <c r="AE39" s="59">
        <f t="shared" si="83"/>
        <v>0</v>
      </c>
      <c r="AF39" s="61"/>
      <c r="AG39" s="59">
        <v>0</v>
      </c>
      <c r="AH39" s="61"/>
      <c r="AI39" s="59">
        <v>0</v>
      </c>
      <c r="AJ39" s="61"/>
      <c r="AK39" s="59">
        <v>0</v>
      </c>
      <c r="AL39" s="61"/>
      <c r="AM39" s="61"/>
      <c r="AN39" s="61"/>
      <c r="AO39" s="62">
        <v>0</v>
      </c>
      <c r="AP39" s="61"/>
      <c r="AQ39" s="62"/>
      <c r="AR39" s="59">
        <v>0</v>
      </c>
      <c r="AT39" s="59">
        <f>+IF(W39&lt;&gt;0,W39-C39,0)</f>
        <v>0</v>
      </c>
      <c r="AU39" s="59" t="s">
        <v>57</v>
      </c>
      <c r="AV39" s="59">
        <f>+IF(Y39&lt;&gt;0,Y39-E39,0)</f>
        <v>0</v>
      </c>
      <c r="AW39" s="59">
        <f>+IF(Z39&lt;&gt;0,Z39-F39,0)</f>
        <v>0</v>
      </c>
      <c r="AX39" s="59">
        <f>+IF(AA39&lt;&gt;0,AA39-G39,0)</f>
        <v>0</v>
      </c>
      <c r="AY39" s="59">
        <f>+IF(AB39&lt;&gt;0,AB39-H39,0)</f>
        <v>0</v>
      </c>
      <c r="AZ39" s="59">
        <f>+IF(AC39&lt;&gt;0,AC39-I39,0)</f>
        <v>0</v>
      </c>
      <c r="BA39" s="59">
        <f>+IF(AD39&lt;&gt;0,AD39-J39,0)</f>
        <v>0</v>
      </c>
      <c r="BB39" s="59">
        <f>+IF(AE39&lt;&gt;0,AE39-K39,0)</f>
        <v>0</v>
      </c>
      <c r="BC39" s="59"/>
      <c r="BD39" s="61"/>
      <c r="BE39" s="61"/>
      <c r="BF39" s="61"/>
      <c r="BG39" s="61"/>
      <c r="BH39" s="61"/>
      <c r="BI39" s="62">
        <f>+IF(AO39&lt;&gt;0,AO39-R39,0)</f>
        <v>0</v>
      </c>
      <c r="BJ39" s="61"/>
      <c r="BK39" s="62"/>
      <c r="BL39" s="59">
        <f t="shared" si="79"/>
        <v>0</v>
      </c>
    </row>
    <row r="40" spans="2:64" x14ac:dyDescent="0.15">
      <c r="B40" s="4" t="s">
        <v>59</v>
      </c>
      <c r="C40" s="62"/>
      <c r="D40" s="62"/>
      <c r="E40" s="62"/>
      <c r="F40" s="62"/>
      <c r="G40" s="59"/>
      <c r="H40" s="59"/>
      <c r="I40" s="62"/>
      <c r="M40" s="62"/>
      <c r="N40" s="62"/>
      <c r="O40" s="62"/>
      <c r="P40" s="62"/>
      <c r="Q40" s="62"/>
      <c r="R40" s="62"/>
      <c r="S40" s="62"/>
      <c r="T40" s="62"/>
      <c r="U40" s="62"/>
      <c r="W40" s="62"/>
      <c r="X40" s="2"/>
      <c r="Y40" s="62"/>
      <c r="Z40" s="62"/>
      <c r="AA40" s="2"/>
      <c r="AB40" s="62"/>
      <c r="AC40" s="62"/>
      <c r="AD40" s="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</row>
    <row r="41" spans="2:64" x14ac:dyDescent="0.15">
      <c r="AR41" s="2"/>
      <c r="BL41" s="2"/>
    </row>
    <row r="42" spans="2:64" x14ac:dyDescent="0.15">
      <c r="AR42" s="2"/>
      <c r="BL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E174-A30A-4CA8-BE40-5A3935C1B2FA}">
  <dimension ref="B4:AC60"/>
  <sheetViews>
    <sheetView showGridLines="0" workbookViewId="0">
      <selection activeCell="BC25" sqref="BC25"/>
    </sheetView>
  </sheetViews>
  <sheetFormatPr defaultColWidth="9.140625" defaultRowHeight="15.75" outlineLevelCol="1" x14ac:dyDescent="0.3"/>
  <cols>
    <col min="1" max="1" width="3.28515625" style="70" customWidth="1"/>
    <col min="2" max="2" width="14.28515625" style="69" bestFit="1" customWidth="1"/>
    <col min="3" max="3" width="14.28515625" style="69" hidden="1" customWidth="1" outlineLevel="1"/>
    <col min="4" max="4" width="0.85546875" style="70" customWidth="1" collapsed="1"/>
    <col min="5" max="5" width="11.5703125" style="70" customWidth="1"/>
    <col min="6" max="8" width="15.85546875" style="70" customWidth="1"/>
    <col min="9" max="9" width="0.85546875" style="70" hidden="1" customWidth="1" outlineLevel="1"/>
    <col min="10" max="10" width="18.28515625" style="70" hidden="1" customWidth="1" outlineLevel="1"/>
    <col min="11" max="11" width="16" style="70" hidden="1" customWidth="1" outlineLevel="1"/>
    <col min="12" max="12" width="0.85546875" style="70" hidden="1" customWidth="1" outlineLevel="1"/>
    <col min="13" max="14" width="18.7109375" style="70" hidden="1" customWidth="1" outlineLevel="1"/>
    <col min="15" max="15" width="0.85546875" style="70" customWidth="1" collapsed="1"/>
    <col min="16" max="19" width="15.85546875" style="70" customWidth="1"/>
    <col min="20" max="20" width="0.85546875" style="70" customWidth="1"/>
    <col min="21" max="24" width="16.5703125" style="70" customWidth="1"/>
    <col min="25" max="25" width="0.85546875" style="70" hidden="1" customWidth="1" outlineLevel="1"/>
    <col min="26" max="26" width="54.140625" style="69" hidden="1" customWidth="1" outlineLevel="1"/>
    <col min="27" max="27" width="60.85546875" style="69" hidden="1" customWidth="1" outlineLevel="1"/>
    <col min="28" max="28" width="9.140625" style="70" collapsed="1"/>
    <col min="29" max="16384" width="9.140625" style="70"/>
  </cols>
  <sheetData>
    <row r="4" spans="2:29" x14ac:dyDescent="0.3">
      <c r="B4" s="68" t="s">
        <v>60</v>
      </c>
    </row>
    <row r="5" spans="2:29" x14ac:dyDescent="0.3">
      <c r="B5" s="71"/>
      <c r="C5" s="71"/>
      <c r="E5" s="72" t="s">
        <v>61</v>
      </c>
      <c r="F5" s="72"/>
      <c r="G5" s="72"/>
      <c r="H5" s="72"/>
      <c r="J5" s="72" t="s">
        <v>19</v>
      </c>
      <c r="K5" s="72"/>
      <c r="M5" s="72" t="s">
        <v>62</v>
      </c>
      <c r="N5" s="72"/>
      <c r="P5" s="72" t="s">
        <v>63</v>
      </c>
      <c r="Q5" s="72"/>
      <c r="R5" s="72"/>
      <c r="S5" s="72"/>
      <c r="U5" s="72" t="s">
        <v>64</v>
      </c>
      <c r="V5" s="72"/>
      <c r="W5" s="72"/>
      <c r="X5" s="72"/>
      <c r="Z5" s="71"/>
      <c r="AA5" s="71"/>
    </row>
    <row r="6" spans="2:29" x14ac:dyDescent="0.3">
      <c r="B6" s="71" t="s">
        <v>65</v>
      </c>
      <c r="C6" s="71" t="s">
        <v>66</v>
      </c>
      <c r="D6" s="73"/>
      <c r="E6" s="74" t="s">
        <v>19</v>
      </c>
      <c r="F6" s="74" t="s">
        <v>67</v>
      </c>
      <c r="G6" s="74" t="s">
        <v>68</v>
      </c>
      <c r="H6" s="74" t="s">
        <v>69</v>
      </c>
      <c r="I6" s="73"/>
      <c r="J6" s="74" t="s">
        <v>70</v>
      </c>
      <c r="K6" s="74" t="s">
        <v>71</v>
      </c>
      <c r="L6" s="73"/>
      <c r="M6" s="74" t="s">
        <v>70</v>
      </c>
      <c r="N6" s="74" t="s">
        <v>71</v>
      </c>
      <c r="O6" s="73"/>
      <c r="P6" s="74" t="s">
        <v>72</v>
      </c>
      <c r="Q6" s="74" t="s">
        <v>67</v>
      </c>
      <c r="R6" s="74" t="s">
        <v>68</v>
      </c>
      <c r="S6" s="74" t="s">
        <v>69</v>
      </c>
      <c r="T6" s="73"/>
      <c r="U6" s="74" t="s">
        <v>72</v>
      </c>
      <c r="V6" s="74" t="s">
        <v>67</v>
      </c>
      <c r="W6" s="74" t="s">
        <v>68</v>
      </c>
      <c r="X6" s="74" t="s">
        <v>69</v>
      </c>
      <c r="Y6" s="73"/>
      <c r="Z6" s="71" t="s">
        <v>73</v>
      </c>
      <c r="AA6" s="71" t="s">
        <v>74</v>
      </c>
    </row>
    <row r="7" spans="2:29" x14ac:dyDescent="0.3">
      <c r="B7" s="75">
        <v>46022</v>
      </c>
      <c r="C7" s="75" t="s">
        <v>75</v>
      </c>
      <c r="D7" s="76"/>
      <c r="E7" s="77">
        <v>5.2879618564609885</v>
      </c>
      <c r="F7" s="77">
        <v>5.0240018270369067</v>
      </c>
      <c r="G7" s="77">
        <v>5.0708076499558956</v>
      </c>
      <c r="H7" s="77">
        <v>5.6154557017475275</v>
      </c>
      <c r="I7" s="76"/>
      <c r="J7" s="78">
        <v>1124952.3999999999</v>
      </c>
      <c r="K7" s="78">
        <v>1634089698</v>
      </c>
      <c r="L7" s="76"/>
      <c r="M7" s="78">
        <v>1127182.3999999999</v>
      </c>
      <c r="N7" s="78">
        <v>1623632139</v>
      </c>
      <c r="O7" s="76"/>
      <c r="P7" s="79">
        <v>3.303325176120564E-2</v>
      </c>
      <c r="Q7" s="79">
        <v>4.7453256767024998E-2</v>
      </c>
      <c r="R7" s="79">
        <v>3.4987665660928723E-2</v>
      </c>
      <c r="S7" s="79">
        <v>2.2486972321092251E-2</v>
      </c>
      <c r="T7" s="79"/>
      <c r="U7" s="79">
        <v>1.7306034527022292E-2</v>
      </c>
      <c r="V7" s="79">
        <v>2.6318539921565739E-2</v>
      </c>
      <c r="W7" s="79">
        <v>1.9811262698683399E-2</v>
      </c>
      <c r="X7" s="79">
        <v>9.7809167193576626E-3</v>
      </c>
      <c r="Y7" s="79"/>
      <c r="Z7" s="69" t="s">
        <v>76</v>
      </c>
    </row>
    <row r="8" spans="2:29" x14ac:dyDescent="0.3">
      <c r="B8" s="75">
        <f>EOMONTH(B7,1)</f>
        <v>46053</v>
      </c>
      <c r="C8" s="75" t="s">
        <v>75</v>
      </c>
      <c r="D8" s="76"/>
      <c r="E8" s="77">
        <v>5.3090065123822425</v>
      </c>
      <c r="F8" s="77">
        <v>4.9395068745389032</v>
      </c>
      <c r="G8" s="77">
        <v>5.1991394171941838</v>
      </c>
      <c r="H8" s="77">
        <v>5.5886840585891999</v>
      </c>
      <c r="I8" s="76"/>
      <c r="J8" s="78">
        <v>1222801.3999999999</v>
      </c>
      <c r="K8" s="78">
        <v>1774985629</v>
      </c>
      <c r="L8" s="76"/>
      <c r="M8" s="78">
        <v>1225031.3999999999</v>
      </c>
      <c r="N8" s="78">
        <v>1764032134</v>
      </c>
      <c r="O8" s="76"/>
      <c r="P8" s="79">
        <v>3.3481998910395279E-2</v>
      </c>
      <c r="Q8" s="79">
        <v>4.3906782140922591E-2</v>
      </c>
      <c r="R8" s="79">
        <v>4.5868850693634285E-2</v>
      </c>
      <c r="S8" s="79">
        <v>1.982129936743773E-2</v>
      </c>
      <c r="T8" s="79"/>
      <c r="U8" s="79">
        <v>1.6725252580702909E-2</v>
      </c>
      <c r="V8" s="79">
        <v>1.7688817601037809E-2</v>
      </c>
      <c r="W8" s="79">
        <v>2.6711277100167075E-2</v>
      </c>
      <c r="X8" s="79">
        <v>8.2913493087319271E-3</v>
      </c>
      <c r="Y8" s="79"/>
      <c r="Z8" s="69" t="s">
        <v>76</v>
      </c>
    </row>
    <row r="9" spans="2:29" x14ac:dyDescent="0.3">
      <c r="B9" s="75">
        <f>EOMONTH(B8,1)</f>
        <v>46081</v>
      </c>
      <c r="C9" s="75" t="s">
        <v>75</v>
      </c>
      <c r="D9" s="76"/>
      <c r="E9" s="77">
        <v>5.2726671291043559</v>
      </c>
      <c r="F9" s="77">
        <v>4.9017368828830898</v>
      </c>
      <c r="G9" s="77">
        <v>5.1484760099759521</v>
      </c>
      <c r="H9" s="77">
        <v>5.5596987469931447</v>
      </c>
      <c r="I9" s="76"/>
      <c r="J9" s="78">
        <v>1225728.3999999999</v>
      </c>
      <c r="K9" s="78">
        <v>1769595491</v>
      </c>
      <c r="L9" s="76"/>
      <c r="M9" s="78">
        <v>1227958.3999999999</v>
      </c>
      <c r="N9" s="78">
        <v>1758283681</v>
      </c>
      <c r="O9" s="76"/>
      <c r="P9" s="79">
        <v>3.6764681930593089E-2</v>
      </c>
      <c r="Q9" s="79">
        <v>5.7322648074978756E-2</v>
      </c>
      <c r="R9" s="79">
        <v>4.8273869759837711E-2</v>
      </c>
      <c r="S9" s="79">
        <v>1.782953072382306E-2</v>
      </c>
      <c r="T9" s="79"/>
      <c r="U9" s="79">
        <v>2.1295743314341628E-2</v>
      </c>
      <c r="V9" s="79">
        <v>3.3337982098866181E-2</v>
      </c>
      <c r="W9" s="79">
        <v>3.0912847513054103E-2</v>
      </c>
      <c r="X9" s="79">
        <v>7.2192010367684561E-3</v>
      </c>
      <c r="Y9" s="79"/>
      <c r="Z9" s="69" t="s">
        <v>77</v>
      </c>
    </row>
    <row r="10" spans="2:29" x14ac:dyDescent="0.3">
      <c r="B10" s="80">
        <f>EOMONTH(B9,1)</f>
        <v>46112</v>
      </c>
      <c r="C10" s="75" t="s">
        <v>75</v>
      </c>
      <c r="D10" s="81"/>
      <c r="E10" s="82">
        <v>5.3088412522135648</v>
      </c>
      <c r="F10" s="82">
        <v>5.1850582882619083</v>
      </c>
      <c r="G10" s="82">
        <v>5.0341044654579266</v>
      </c>
      <c r="H10" s="82">
        <v>5.5722661332787737</v>
      </c>
      <c r="I10" s="81"/>
      <c r="J10" s="83">
        <v>1206386.8999999999</v>
      </c>
      <c r="K10" s="83">
        <v>1762745135</v>
      </c>
      <c r="L10" s="81"/>
      <c r="M10" s="83">
        <v>1209025.7</v>
      </c>
      <c r="N10" s="83">
        <v>1750818015</v>
      </c>
      <c r="O10" s="81"/>
      <c r="P10" s="84">
        <v>3.364485965848369E-2</v>
      </c>
      <c r="Q10" s="84">
        <v>4.5805396189027903E-2</v>
      </c>
      <c r="R10" s="84">
        <v>4.9135530600071198E-2</v>
      </c>
      <c r="S10" s="84">
        <v>1.7828734240270091E-2</v>
      </c>
      <c r="T10" s="84"/>
      <c r="U10" s="84">
        <v>1.8639001713244514E-2</v>
      </c>
      <c r="V10" s="84">
        <v>2.0167359628252807E-2</v>
      </c>
      <c r="W10" s="84">
        <v>3.2905414299244012E-2</v>
      </c>
      <c r="X10" s="84">
        <v>7.137427037354014E-3</v>
      </c>
      <c r="Y10" s="85"/>
      <c r="Z10" s="69" t="s">
        <v>78</v>
      </c>
    </row>
    <row r="11" spans="2:29" x14ac:dyDescent="0.3">
      <c r="B11" s="86"/>
      <c r="C11" s="86"/>
      <c r="D11" s="81"/>
      <c r="E11" s="82"/>
      <c r="F11" s="82"/>
      <c r="G11" s="82"/>
      <c r="H11" s="82"/>
      <c r="I11" s="81"/>
      <c r="J11" s="83"/>
      <c r="K11" s="83"/>
      <c r="L11" s="81"/>
      <c r="M11" s="83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5"/>
    </row>
    <row r="12" spans="2:29" x14ac:dyDescent="0.3">
      <c r="B12" s="87"/>
      <c r="C12" s="87"/>
      <c r="D12" s="88"/>
      <c r="E12" s="89"/>
      <c r="J12" s="89"/>
      <c r="K12" s="89"/>
      <c r="M12" s="89"/>
      <c r="N12" s="89"/>
      <c r="P12" s="89"/>
      <c r="U12" s="85"/>
    </row>
    <row r="13" spans="2:29" x14ac:dyDescent="0.3">
      <c r="B13" s="87"/>
      <c r="C13" s="87"/>
      <c r="D13" s="88"/>
      <c r="E13" s="89"/>
      <c r="F13" s="85"/>
      <c r="G13" s="85"/>
      <c r="H13" s="85"/>
      <c r="I13" s="88"/>
      <c r="J13" s="89"/>
      <c r="K13" s="89"/>
      <c r="L13" s="88"/>
      <c r="M13" s="89"/>
      <c r="N13" s="89"/>
      <c r="O13" s="88"/>
      <c r="P13" s="85"/>
      <c r="Q13" s="85"/>
      <c r="R13" s="85"/>
      <c r="S13" s="85"/>
      <c r="T13" s="85"/>
      <c r="U13" s="85"/>
      <c r="V13" s="85"/>
      <c r="W13" s="85"/>
      <c r="X13" s="85"/>
      <c r="Y13" s="85"/>
    </row>
    <row r="14" spans="2:29" s="69" customFormat="1" x14ac:dyDescent="0.3">
      <c r="B14" s="87"/>
      <c r="C14" s="87"/>
      <c r="D14" s="88"/>
      <c r="E14" s="89"/>
      <c r="F14" s="85"/>
      <c r="G14" s="85"/>
      <c r="H14" s="85"/>
      <c r="I14" s="88"/>
      <c r="J14" s="89"/>
      <c r="K14" s="89"/>
      <c r="L14" s="88"/>
      <c r="M14" s="89"/>
      <c r="N14" s="89"/>
      <c r="O14" s="88"/>
      <c r="P14" s="85"/>
      <c r="Q14" s="85"/>
      <c r="R14" s="85"/>
      <c r="S14" s="85"/>
      <c r="T14" s="85"/>
      <c r="U14" s="85"/>
      <c r="V14" s="85"/>
      <c r="W14" s="85"/>
      <c r="X14" s="85"/>
      <c r="Y14" s="85"/>
      <c r="AB14" s="70"/>
      <c r="AC14" s="70"/>
    </row>
    <row r="15" spans="2:29" s="69" customFormat="1" x14ac:dyDescent="0.3">
      <c r="B15" s="87"/>
      <c r="C15" s="87"/>
      <c r="D15" s="88"/>
      <c r="E15" s="89"/>
      <c r="F15" s="85"/>
      <c r="G15" s="85"/>
      <c r="H15" s="85"/>
      <c r="I15" s="88"/>
      <c r="J15" s="89"/>
      <c r="K15" s="89"/>
      <c r="L15" s="88"/>
      <c r="M15" s="89"/>
      <c r="N15" s="89"/>
      <c r="O15" s="88"/>
      <c r="P15" s="85"/>
      <c r="Q15" s="85"/>
      <c r="R15" s="85"/>
      <c r="S15" s="85"/>
      <c r="T15" s="85"/>
      <c r="U15" s="85"/>
      <c r="V15" s="85"/>
      <c r="W15" s="85"/>
      <c r="X15" s="85"/>
      <c r="Y15" s="85"/>
      <c r="AB15" s="70"/>
      <c r="AC15" s="70"/>
    </row>
    <row r="16" spans="2:29" s="69" customFormat="1" x14ac:dyDescent="0.3">
      <c r="B16" s="87"/>
      <c r="C16" s="87"/>
      <c r="D16" s="88"/>
      <c r="E16" s="89"/>
      <c r="F16" s="85"/>
      <c r="G16" s="85"/>
      <c r="H16" s="85"/>
      <c r="I16" s="88"/>
      <c r="J16" s="89"/>
      <c r="K16" s="89"/>
      <c r="L16" s="88"/>
      <c r="M16" s="89"/>
      <c r="N16" s="89"/>
      <c r="O16" s="88"/>
      <c r="P16" s="85"/>
      <c r="Q16" s="85"/>
      <c r="R16" s="85"/>
      <c r="S16" s="85"/>
      <c r="T16" s="85"/>
      <c r="U16" s="85"/>
      <c r="V16" s="85"/>
      <c r="W16" s="85"/>
      <c r="X16" s="85"/>
      <c r="Y16" s="85"/>
      <c r="AB16" s="70"/>
      <c r="AC16" s="70"/>
    </row>
    <row r="17" spans="2:29" s="69" customFormat="1" x14ac:dyDescent="0.3">
      <c r="B17" s="87"/>
      <c r="C17" s="87"/>
      <c r="D17" s="88"/>
      <c r="E17" s="89"/>
      <c r="F17" s="85"/>
      <c r="G17" s="85"/>
      <c r="H17" s="85"/>
      <c r="I17" s="88"/>
      <c r="J17" s="89"/>
      <c r="K17" s="89"/>
      <c r="L17" s="88"/>
      <c r="M17" s="89"/>
      <c r="N17" s="89"/>
      <c r="O17" s="88"/>
      <c r="P17" s="85"/>
      <c r="Q17" s="85"/>
      <c r="R17" s="85"/>
      <c r="S17" s="85"/>
      <c r="T17" s="85"/>
      <c r="U17" s="85"/>
      <c r="V17" s="85"/>
      <c r="W17" s="85"/>
      <c r="X17" s="85"/>
      <c r="Y17" s="85"/>
      <c r="AB17" s="70"/>
      <c r="AC17" s="70"/>
    </row>
    <row r="18" spans="2:29" s="69" customFormat="1" x14ac:dyDescent="0.3">
      <c r="B18" s="87"/>
      <c r="C18" s="87"/>
      <c r="D18" s="88"/>
      <c r="E18" s="89"/>
      <c r="F18" s="85"/>
      <c r="G18" s="85"/>
      <c r="H18" s="85"/>
      <c r="I18" s="88"/>
      <c r="J18" s="89"/>
      <c r="K18" s="89"/>
      <c r="L18" s="88"/>
      <c r="M18" s="89"/>
      <c r="N18" s="89"/>
      <c r="O18" s="88"/>
      <c r="P18" s="85"/>
      <c r="Q18" s="85"/>
      <c r="R18" s="85"/>
      <c r="S18" s="85"/>
      <c r="T18" s="85"/>
      <c r="U18" s="85"/>
      <c r="V18" s="85"/>
      <c r="W18" s="85"/>
      <c r="X18" s="85"/>
      <c r="Y18" s="85"/>
      <c r="AB18" s="70"/>
      <c r="AC18" s="70"/>
    </row>
    <row r="19" spans="2:29" s="69" customFormat="1" x14ac:dyDescent="0.3">
      <c r="B19" s="87"/>
      <c r="C19" s="87"/>
      <c r="D19" s="88"/>
      <c r="E19" s="89"/>
      <c r="F19" s="85"/>
      <c r="G19" s="85"/>
      <c r="H19" s="85"/>
      <c r="I19" s="88"/>
      <c r="J19" s="89"/>
      <c r="K19" s="89"/>
      <c r="L19" s="88"/>
      <c r="M19" s="89"/>
      <c r="N19" s="89"/>
      <c r="O19" s="88"/>
      <c r="P19" s="85"/>
      <c r="Q19" s="85"/>
      <c r="R19" s="85"/>
      <c r="S19" s="85"/>
      <c r="T19" s="85"/>
      <c r="U19" s="85"/>
      <c r="V19" s="85"/>
      <c r="W19" s="85"/>
      <c r="X19" s="85"/>
      <c r="Y19" s="85"/>
      <c r="AB19" s="70"/>
      <c r="AC19" s="70"/>
    </row>
    <row r="20" spans="2:29" s="69" customFormat="1" x14ac:dyDescent="0.3">
      <c r="B20" s="87"/>
      <c r="C20" s="87"/>
      <c r="D20" s="88"/>
      <c r="E20" s="89"/>
      <c r="F20" s="85"/>
      <c r="G20" s="85"/>
      <c r="H20" s="85"/>
      <c r="I20" s="88"/>
      <c r="J20" s="89"/>
      <c r="K20" s="89"/>
      <c r="L20" s="88"/>
      <c r="M20" s="89"/>
      <c r="N20" s="89"/>
      <c r="O20" s="88"/>
      <c r="P20" s="85"/>
      <c r="Q20" s="85"/>
      <c r="R20" s="85"/>
      <c r="S20" s="85"/>
      <c r="T20" s="85"/>
      <c r="U20" s="85"/>
      <c r="V20" s="85"/>
      <c r="W20" s="85"/>
      <c r="X20" s="85"/>
      <c r="Y20" s="85"/>
      <c r="AB20" s="70"/>
      <c r="AC20" s="70"/>
    </row>
    <row r="21" spans="2:29" s="69" customFormat="1" x14ac:dyDescent="0.3">
      <c r="B21" s="87"/>
      <c r="C21" s="87"/>
      <c r="D21" s="88"/>
      <c r="E21" s="89"/>
      <c r="F21" s="85"/>
      <c r="G21" s="85"/>
      <c r="H21" s="85"/>
      <c r="I21" s="88"/>
      <c r="J21" s="89"/>
      <c r="K21" s="89"/>
      <c r="L21" s="88"/>
      <c r="M21" s="89"/>
      <c r="N21" s="89"/>
      <c r="O21" s="88"/>
      <c r="P21" s="85"/>
      <c r="Q21" s="85"/>
      <c r="R21" s="85"/>
      <c r="S21" s="85"/>
      <c r="T21" s="85"/>
      <c r="U21" s="85"/>
      <c r="V21" s="85"/>
      <c r="W21" s="85"/>
      <c r="X21" s="85"/>
      <c r="Y21" s="85"/>
      <c r="AB21" s="70"/>
      <c r="AC21" s="70"/>
    </row>
    <row r="22" spans="2:29" s="69" customFormat="1" x14ac:dyDescent="0.3">
      <c r="B22" s="87"/>
      <c r="C22" s="87"/>
      <c r="D22" s="88"/>
      <c r="E22" s="89"/>
      <c r="F22" s="85"/>
      <c r="G22" s="85"/>
      <c r="H22" s="85"/>
      <c r="I22" s="88"/>
      <c r="J22" s="89"/>
      <c r="K22" s="89"/>
      <c r="L22" s="88"/>
      <c r="M22" s="89"/>
      <c r="N22" s="89"/>
      <c r="O22" s="88"/>
      <c r="P22" s="85"/>
      <c r="Q22" s="85"/>
      <c r="R22" s="85"/>
      <c r="S22" s="85"/>
      <c r="T22" s="85"/>
      <c r="U22" s="85"/>
      <c r="V22" s="85"/>
      <c r="W22" s="85"/>
      <c r="X22" s="85"/>
      <c r="Y22" s="85"/>
      <c r="AB22" s="70"/>
      <c r="AC22" s="70"/>
    </row>
    <row r="23" spans="2:29" s="69" customFormat="1" x14ac:dyDescent="0.3">
      <c r="B23" s="87"/>
      <c r="C23" s="87"/>
      <c r="D23" s="88"/>
      <c r="E23" s="89"/>
      <c r="F23" s="85"/>
      <c r="G23" s="85"/>
      <c r="H23" s="85"/>
      <c r="I23" s="88"/>
      <c r="J23" s="89"/>
      <c r="K23" s="89"/>
      <c r="L23" s="88"/>
      <c r="M23" s="89"/>
      <c r="N23" s="89"/>
      <c r="O23" s="88"/>
      <c r="P23" s="85"/>
      <c r="Q23" s="85"/>
      <c r="R23" s="85"/>
      <c r="S23" s="85"/>
      <c r="T23" s="85"/>
      <c r="U23" s="85"/>
      <c r="V23" s="85"/>
      <c r="W23" s="85"/>
      <c r="X23" s="85"/>
      <c r="Y23" s="85"/>
      <c r="AB23" s="70"/>
      <c r="AC23" s="70"/>
    </row>
    <row r="24" spans="2:29" s="69" customFormat="1" x14ac:dyDescent="0.3">
      <c r="B24" s="87"/>
      <c r="C24" s="87"/>
      <c r="D24" s="88"/>
      <c r="E24" s="89"/>
      <c r="F24" s="85"/>
      <c r="G24" s="85"/>
      <c r="H24" s="85"/>
      <c r="I24" s="88"/>
      <c r="J24" s="89"/>
      <c r="K24" s="89"/>
      <c r="L24" s="88"/>
      <c r="M24" s="89"/>
      <c r="N24" s="89"/>
      <c r="O24" s="88"/>
      <c r="P24" s="85"/>
      <c r="Q24" s="85"/>
      <c r="R24" s="85"/>
      <c r="S24" s="85"/>
      <c r="T24" s="85"/>
      <c r="U24" s="85"/>
      <c r="V24" s="85"/>
      <c r="W24" s="85"/>
      <c r="X24" s="85"/>
      <c r="Y24" s="85"/>
      <c r="AB24" s="70"/>
      <c r="AC24" s="70"/>
    </row>
    <row r="25" spans="2:29" s="69" customFormat="1" x14ac:dyDescent="0.3">
      <c r="B25" s="87"/>
      <c r="C25" s="87"/>
      <c r="D25" s="88"/>
      <c r="E25" s="89"/>
      <c r="F25" s="85"/>
      <c r="G25" s="85"/>
      <c r="H25" s="85"/>
      <c r="I25" s="88"/>
      <c r="J25" s="89"/>
      <c r="K25" s="89"/>
      <c r="L25" s="88"/>
      <c r="M25" s="89"/>
      <c r="N25" s="89"/>
      <c r="O25" s="88"/>
      <c r="P25" s="85"/>
      <c r="Q25" s="85"/>
      <c r="R25" s="85"/>
      <c r="S25" s="85"/>
      <c r="T25" s="85"/>
      <c r="U25" s="85"/>
      <c r="V25" s="85"/>
      <c r="W25" s="85"/>
      <c r="X25" s="85"/>
      <c r="Y25" s="85"/>
      <c r="AB25" s="70"/>
      <c r="AC25" s="70"/>
    </row>
    <row r="26" spans="2:29" s="69" customFormat="1" x14ac:dyDescent="0.3">
      <c r="B26" s="87"/>
      <c r="C26" s="87"/>
      <c r="D26" s="88"/>
      <c r="E26" s="89"/>
      <c r="F26" s="85"/>
      <c r="G26" s="85"/>
      <c r="H26" s="85"/>
      <c r="I26" s="88"/>
      <c r="J26" s="89"/>
      <c r="K26" s="89"/>
      <c r="L26" s="88"/>
      <c r="M26" s="89"/>
      <c r="N26" s="89"/>
      <c r="O26" s="88"/>
      <c r="P26" s="85"/>
      <c r="Q26" s="85"/>
      <c r="R26" s="85"/>
      <c r="S26" s="85"/>
      <c r="T26" s="85"/>
      <c r="U26" s="85"/>
      <c r="V26" s="85"/>
      <c r="W26" s="85"/>
      <c r="X26" s="85"/>
      <c r="Y26" s="85"/>
      <c r="AB26" s="70"/>
      <c r="AC26" s="70"/>
    </row>
    <row r="27" spans="2:29" s="69" customFormat="1" x14ac:dyDescent="0.3">
      <c r="B27" s="87"/>
      <c r="C27" s="87"/>
      <c r="D27" s="88"/>
      <c r="E27" s="89"/>
      <c r="F27" s="85"/>
      <c r="G27" s="85"/>
      <c r="H27" s="85"/>
      <c r="I27" s="88"/>
      <c r="J27" s="89"/>
      <c r="K27" s="89"/>
      <c r="L27" s="88"/>
      <c r="M27" s="89"/>
      <c r="N27" s="89"/>
      <c r="O27" s="88"/>
      <c r="P27" s="85"/>
      <c r="Q27" s="85"/>
      <c r="R27" s="85"/>
      <c r="S27" s="85"/>
      <c r="T27" s="85"/>
      <c r="U27" s="85"/>
      <c r="V27" s="85"/>
      <c r="W27" s="85"/>
      <c r="X27" s="85"/>
      <c r="Y27" s="85"/>
      <c r="AB27" s="70"/>
      <c r="AC27" s="70"/>
    </row>
    <row r="28" spans="2:29" s="69" customFormat="1" x14ac:dyDescent="0.3">
      <c r="B28" s="87"/>
      <c r="C28" s="87"/>
      <c r="D28" s="88"/>
      <c r="E28" s="89"/>
      <c r="F28" s="85"/>
      <c r="G28" s="85"/>
      <c r="H28" s="85"/>
      <c r="I28" s="88"/>
      <c r="J28" s="89"/>
      <c r="K28" s="89"/>
      <c r="L28" s="88"/>
      <c r="M28" s="89"/>
      <c r="N28" s="89"/>
      <c r="O28" s="88"/>
      <c r="P28" s="85"/>
      <c r="Q28" s="85"/>
      <c r="R28" s="85"/>
      <c r="S28" s="85"/>
      <c r="T28" s="85"/>
      <c r="U28" s="85"/>
      <c r="V28" s="85"/>
      <c r="W28" s="85"/>
      <c r="X28" s="85"/>
      <c r="Y28" s="85"/>
      <c r="AB28" s="70"/>
      <c r="AC28" s="70"/>
    </row>
    <row r="29" spans="2:29" s="69" customFormat="1" x14ac:dyDescent="0.3">
      <c r="B29" s="87"/>
      <c r="C29" s="87"/>
      <c r="D29" s="88"/>
      <c r="E29" s="89"/>
      <c r="F29" s="85"/>
      <c r="G29" s="85"/>
      <c r="H29" s="85"/>
      <c r="I29" s="88"/>
      <c r="J29" s="89"/>
      <c r="K29" s="89"/>
      <c r="L29" s="88"/>
      <c r="M29" s="89"/>
      <c r="N29" s="89"/>
      <c r="O29" s="88"/>
      <c r="P29" s="85"/>
      <c r="Q29" s="85"/>
      <c r="R29" s="85"/>
      <c r="S29" s="85"/>
      <c r="T29" s="85"/>
      <c r="U29" s="85"/>
      <c r="V29" s="85"/>
      <c r="W29" s="85"/>
      <c r="X29" s="85"/>
      <c r="Y29" s="85"/>
      <c r="AB29" s="70"/>
      <c r="AC29" s="70"/>
    </row>
    <row r="30" spans="2:29" s="69" customFormat="1" x14ac:dyDescent="0.3">
      <c r="B30" s="87"/>
      <c r="C30" s="87"/>
      <c r="D30" s="88"/>
      <c r="E30" s="89"/>
      <c r="F30" s="85"/>
      <c r="G30" s="85"/>
      <c r="H30" s="85"/>
      <c r="I30" s="88"/>
      <c r="J30" s="89"/>
      <c r="K30" s="89"/>
      <c r="L30" s="88"/>
      <c r="M30" s="89"/>
      <c r="N30" s="89"/>
      <c r="O30" s="88"/>
      <c r="P30" s="85"/>
      <c r="Q30" s="85"/>
      <c r="R30" s="85"/>
      <c r="S30" s="85"/>
      <c r="T30" s="85"/>
      <c r="U30" s="85"/>
      <c r="V30" s="85"/>
      <c r="W30" s="85"/>
      <c r="X30" s="85"/>
      <c r="Y30" s="85"/>
      <c r="AB30" s="70"/>
      <c r="AC30" s="70"/>
    </row>
    <row r="31" spans="2:29" s="69" customFormat="1" x14ac:dyDescent="0.3">
      <c r="B31" s="87"/>
      <c r="C31" s="87"/>
      <c r="D31" s="88"/>
      <c r="E31" s="89"/>
      <c r="F31" s="85"/>
      <c r="G31" s="85"/>
      <c r="H31" s="85"/>
      <c r="I31" s="88"/>
      <c r="J31" s="89"/>
      <c r="K31" s="89"/>
      <c r="L31" s="88"/>
      <c r="M31" s="89"/>
      <c r="N31" s="89"/>
      <c r="O31" s="88"/>
      <c r="P31" s="85"/>
      <c r="Q31" s="85"/>
      <c r="R31" s="85"/>
      <c r="S31" s="85"/>
      <c r="T31" s="85"/>
      <c r="U31" s="85"/>
      <c r="V31" s="85"/>
      <c r="W31" s="85"/>
      <c r="X31" s="85"/>
      <c r="Y31" s="85"/>
      <c r="AB31" s="70"/>
      <c r="AC31" s="70"/>
    </row>
    <row r="32" spans="2:29" s="69" customFormat="1" x14ac:dyDescent="0.3">
      <c r="B32" s="87"/>
      <c r="C32" s="87"/>
      <c r="D32" s="88"/>
      <c r="E32" s="89"/>
      <c r="F32" s="85"/>
      <c r="G32" s="85"/>
      <c r="H32" s="85"/>
      <c r="I32" s="88"/>
      <c r="J32" s="89"/>
      <c r="K32" s="89"/>
      <c r="L32" s="88"/>
      <c r="M32" s="89"/>
      <c r="N32" s="89"/>
      <c r="O32" s="88"/>
      <c r="P32" s="85"/>
      <c r="Q32" s="85"/>
      <c r="R32" s="85"/>
      <c r="S32" s="85"/>
      <c r="T32" s="85"/>
      <c r="U32" s="85"/>
      <c r="V32" s="85"/>
      <c r="W32" s="85"/>
      <c r="X32" s="85"/>
      <c r="Y32" s="85"/>
      <c r="AB32" s="70"/>
      <c r="AC32" s="70"/>
    </row>
    <row r="33" spans="2:29" s="69" customFormat="1" x14ac:dyDescent="0.3">
      <c r="B33" s="87"/>
      <c r="C33" s="87"/>
      <c r="D33" s="88"/>
      <c r="E33" s="89"/>
      <c r="F33" s="85"/>
      <c r="G33" s="85"/>
      <c r="H33" s="85"/>
      <c r="I33" s="88"/>
      <c r="J33" s="89"/>
      <c r="K33" s="89"/>
      <c r="L33" s="88"/>
      <c r="M33" s="89"/>
      <c r="N33" s="89"/>
      <c r="O33" s="88"/>
      <c r="P33" s="85"/>
      <c r="Q33" s="85"/>
      <c r="R33" s="85"/>
      <c r="S33" s="85"/>
      <c r="T33" s="85"/>
      <c r="U33" s="85"/>
      <c r="V33" s="85"/>
      <c r="W33" s="85"/>
      <c r="X33" s="85"/>
      <c r="Y33" s="85"/>
      <c r="AB33" s="70"/>
      <c r="AC33" s="70"/>
    </row>
    <row r="34" spans="2:29" s="69" customFormat="1" x14ac:dyDescent="0.3">
      <c r="B34" s="87"/>
      <c r="C34" s="87"/>
      <c r="D34" s="88"/>
      <c r="E34" s="89"/>
      <c r="F34" s="85"/>
      <c r="G34" s="85"/>
      <c r="H34" s="85"/>
      <c r="I34" s="88"/>
      <c r="J34" s="89"/>
      <c r="K34" s="89"/>
      <c r="L34" s="88"/>
      <c r="M34" s="89"/>
      <c r="N34" s="89"/>
      <c r="O34" s="88"/>
      <c r="P34" s="85"/>
      <c r="Q34" s="85"/>
      <c r="R34" s="85"/>
      <c r="S34" s="85"/>
      <c r="T34" s="85"/>
      <c r="U34" s="85"/>
      <c r="V34" s="85"/>
      <c r="W34" s="85"/>
      <c r="X34" s="85"/>
      <c r="Y34" s="85"/>
      <c r="AB34" s="70"/>
      <c r="AC34" s="70"/>
    </row>
    <row r="35" spans="2:29" s="69" customFormat="1" x14ac:dyDescent="0.3">
      <c r="B35" s="87"/>
      <c r="C35" s="87"/>
      <c r="D35" s="88"/>
      <c r="E35" s="89"/>
      <c r="F35" s="85"/>
      <c r="G35" s="85"/>
      <c r="H35" s="85"/>
      <c r="I35" s="88"/>
      <c r="J35" s="89"/>
      <c r="K35" s="89"/>
      <c r="L35" s="88"/>
      <c r="M35" s="89"/>
      <c r="N35" s="89"/>
      <c r="O35" s="88"/>
      <c r="P35" s="85"/>
      <c r="Q35" s="85"/>
      <c r="R35" s="85"/>
      <c r="S35" s="85"/>
      <c r="T35" s="85"/>
      <c r="U35" s="85"/>
      <c r="V35" s="85"/>
      <c r="W35" s="85"/>
      <c r="X35" s="85"/>
      <c r="Y35" s="85"/>
      <c r="AB35" s="70"/>
      <c r="AC35" s="70"/>
    </row>
    <row r="36" spans="2:29" s="69" customFormat="1" x14ac:dyDescent="0.3">
      <c r="B36" s="87"/>
      <c r="C36" s="87"/>
      <c r="D36" s="88"/>
      <c r="E36" s="89"/>
      <c r="F36" s="85"/>
      <c r="G36" s="85"/>
      <c r="H36" s="85"/>
      <c r="I36" s="88"/>
      <c r="J36" s="89"/>
      <c r="K36" s="89"/>
      <c r="L36" s="88"/>
      <c r="M36" s="89"/>
      <c r="N36" s="89"/>
      <c r="O36" s="88"/>
      <c r="P36" s="85"/>
      <c r="Q36" s="85"/>
      <c r="R36" s="85"/>
      <c r="S36" s="85"/>
      <c r="T36" s="85"/>
      <c r="U36" s="85"/>
      <c r="V36" s="85"/>
      <c r="W36" s="85"/>
      <c r="X36" s="85"/>
      <c r="Y36" s="85"/>
      <c r="AB36" s="70"/>
      <c r="AC36" s="70"/>
    </row>
    <row r="37" spans="2:29" s="69" customFormat="1" x14ac:dyDescent="0.3">
      <c r="B37" s="87"/>
      <c r="C37" s="87"/>
      <c r="D37" s="88"/>
      <c r="E37" s="89"/>
      <c r="F37" s="85"/>
      <c r="G37" s="85"/>
      <c r="H37" s="85"/>
      <c r="I37" s="88"/>
      <c r="J37" s="89"/>
      <c r="K37" s="89"/>
      <c r="L37" s="88"/>
      <c r="M37" s="89"/>
      <c r="N37" s="89"/>
      <c r="O37" s="88"/>
      <c r="P37" s="85"/>
      <c r="Q37" s="85"/>
      <c r="R37" s="85"/>
      <c r="S37" s="85"/>
      <c r="T37" s="85"/>
      <c r="U37" s="85"/>
      <c r="V37" s="85"/>
      <c r="W37" s="85"/>
      <c r="X37" s="85"/>
      <c r="Y37" s="85"/>
      <c r="AB37" s="70"/>
      <c r="AC37" s="70"/>
    </row>
    <row r="38" spans="2:29" s="69" customFormat="1" x14ac:dyDescent="0.3">
      <c r="B38" s="87"/>
      <c r="C38" s="87"/>
      <c r="D38" s="88"/>
      <c r="E38" s="89"/>
      <c r="F38" s="85"/>
      <c r="G38" s="85"/>
      <c r="H38" s="85"/>
      <c r="I38" s="88"/>
      <c r="J38" s="89"/>
      <c r="K38" s="89"/>
      <c r="L38" s="88"/>
      <c r="M38" s="89"/>
      <c r="N38" s="89"/>
      <c r="O38" s="88"/>
      <c r="P38" s="85"/>
      <c r="Q38" s="85"/>
      <c r="R38" s="85"/>
      <c r="S38" s="85"/>
      <c r="T38" s="85"/>
      <c r="U38" s="85"/>
      <c r="V38" s="85"/>
      <c r="W38" s="85"/>
      <c r="X38" s="85"/>
      <c r="Y38" s="85"/>
      <c r="AB38" s="70"/>
      <c r="AC38" s="70"/>
    </row>
    <row r="39" spans="2:29" s="69" customFormat="1" x14ac:dyDescent="0.3">
      <c r="B39" s="87"/>
      <c r="C39" s="87"/>
      <c r="D39" s="88"/>
      <c r="E39" s="89"/>
      <c r="F39" s="85"/>
      <c r="G39" s="85"/>
      <c r="H39" s="85"/>
      <c r="I39" s="88"/>
      <c r="J39" s="89"/>
      <c r="K39" s="89"/>
      <c r="L39" s="88"/>
      <c r="M39" s="89"/>
      <c r="N39" s="89"/>
      <c r="O39" s="88"/>
      <c r="P39" s="85"/>
      <c r="Q39" s="85"/>
      <c r="R39" s="85"/>
      <c r="S39" s="85"/>
      <c r="T39" s="85"/>
      <c r="U39" s="85"/>
      <c r="V39" s="85"/>
      <c r="W39" s="85"/>
      <c r="X39" s="85"/>
      <c r="Y39" s="85"/>
      <c r="AB39" s="70"/>
      <c r="AC39" s="70"/>
    </row>
    <row r="40" spans="2:29" s="69" customFormat="1" x14ac:dyDescent="0.3">
      <c r="B40" s="87"/>
      <c r="C40" s="87"/>
      <c r="D40" s="88"/>
      <c r="E40" s="89"/>
      <c r="F40" s="85"/>
      <c r="G40" s="85"/>
      <c r="H40" s="85"/>
      <c r="I40" s="88"/>
      <c r="J40" s="89"/>
      <c r="K40" s="89"/>
      <c r="L40" s="88"/>
      <c r="M40" s="89"/>
      <c r="N40" s="89"/>
      <c r="O40" s="88"/>
      <c r="P40" s="85"/>
      <c r="Q40" s="85"/>
      <c r="R40" s="85"/>
      <c r="S40" s="85"/>
      <c r="T40" s="85"/>
      <c r="U40" s="85"/>
      <c r="V40" s="85"/>
      <c r="W40" s="85"/>
      <c r="X40" s="85"/>
      <c r="Y40" s="85"/>
      <c r="AB40" s="70"/>
      <c r="AC40" s="70"/>
    </row>
    <row r="41" spans="2:29" s="69" customFormat="1" x14ac:dyDescent="0.3">
      <c r="B41" s="87"/>
      <c r="C41" s="87"/>
      <c r="D41" s="88"/>
      <c r="E41" s="89"/>
      <c r="F41" s="85"/>
      <c r="G41" s="85"/>
      <c r="H41" s="85"/>
      <c r="I41" s="88"/>
      <c r="J41" s="89"/>
      <c r="K41" s="89"/>
      <c r="L41" s="88"/>
      <c r="M41" s="89"/>
      <c r="N41" s="89"/>
      <c r="O41" s="88"/>
      <c r="P41" s="85"/>
      <c r="Q41" s="85"/>
      <c r="R41" s="85"/>
      <c r="S41" s="85"/>
      <c r="T41" s="85"/>
      <c r="U41" s="85"/>
      <c r="V41" s="85"/>
      <c r="W41" s="85"/>
      <c r="X41" s="85"/>
      <c r="Y41" s="85"/>
      <c r="AB41" s="70"/>
      <c r="AC41" s="70"/>
    </row>
    <row r="42" spans="2:29" s="69" customFormat="1" x14ac:dyDescent="0.3">
      <c r="B42" s="87"/>
      <c r="C42" s="87"/>
      <c r="D42" s="88"/>
      <c r="E42" s="89"/>
      <c r="F42" s="85"/>
      <c r="G42" s="85"/>
      <c r="H42" s="85"/>
      <c r="I42" s="88"/>
      <c r="J42" s="89"/>
      <c r="K42" s="89"/>
      <c r="L42" s="88"/>
      <c r="M42" s="89"/>
      <c r="N42" s="89"/>
      <c r="O42" s="88"/>
      <c r="P42" s="85"/>
      <c r="Q42" s="85"/>
      <c r="R42" s="85"/>
      <c r="S42" s="85"/>
      <c r="T42" s="85"/>
      <c r="U42" s="85"/>
      <c r="V42" s="85"/>
      <c r="W42" s="85"/>
      <c r="X42" s="85"/>
      <c r="Y42" s="85"/>
      <c r="AB42" s="70"/>
      <c r="AC42" s="70"/>
    </row>
    <row r="43" spans="2:29" s="69" customFormat="1" x14ac:dyDescent="0.3">
      <c r="B43" s="87"/>
      <c r="C43" s="87"/>
      <c r="D43" s="88"/>
      <c r="E43" s="89"/>
      <c r="F43" s="85"/>
      <c r="G43" s="85"/>
      <c r="H43" s="85"/>
      <c r="I43" s="88"/>
      <c r="J43" s="89"/>
      <c r="K43" s="89"/>
      <c r="L43" s="88"/>
      <c r="M43" s="89"/>
      <c r="N43" s="89"/>
      <c r="O43" s="88"/>
      <c r="P43" s="85"/>
      <c r="Q43" s="85"/>
      <c r="R43" s="85"/>
      <c r="S43" s="85"/>
      <c r="T43" s="85"/>
      <c r="U43" s="85"/>
      <c r="V43" s="85"/>
      <c r="W43" s="85"/>
      <c r="X43" s="85"/>
      <c r="Y43" s="85"/>
      <c r="AB43" s="70"/>
      <c r="AC43" s="70"/>
    </row>
    <row r="44" spans="2:29" s="69" customFormat="1" x14ac:dyDescent="0.3">
      <c r="B44" s="87"/>
      <c r="C44" s="87"/>
      <c r="D44" s="88"/>
      <c r="E44" s="89"/>
      <c r="F44" s="85"/>
      <c r="G44" s="85"/>
      <c r="H44" s="85"/>
      <c r="I44" s="88"/>
      <c r="J44" s="89"/>
      <c r="K44" s="89"/>
      <c r="L44" s="88"/>
      <c r="M44" s="89"/>
      <c r="N44" s="89"/>
      <c r="O44" s="88"/>
      <c r="P44" s="85"/>
      <c r="Q44" s="85"/>
      <c r="R44" s="85"/>
      <c r="S44" s="85"/>
      <c r="T44" s="85"/>
      <c r="U44" s="85"/>
      <c r="V44" s="85"/>
      <c r="W44" s="85"/>
      <c r="X44" s="85"/>
      <c r="Y44" s="85"/>
      <c r="AB44" s="70"/>
      <c r="AC44" s="70"/>
    </row>
    <row r="45" spans="2:29" s="69" customFormat="1" x14ac:dyDescent="0.3">
      <c r="B45" s="87"/>
      <c r="C45" s="87"/>
      <c r="D45" s="88"/>
      <c r="E45" s="89"/>
      <c r="F45" s="85"/>
      <c r="G45" s="85"/>
      <c r="H45" s="85"/>
      <c r="I45" s="88"/>
      <c r="J45" s="89"/>
      <c r="K45" s="89"/>
      <c r="L45" s="88"/>
      <c r="M45" s="89"/>
      <c r="N45" s="89"/>
      <c r="O45" s="88"/>
      <c r="P45" s="85"/>
      <c r="Q45" s="85"/>
      <c r="R45" s="85"/>
      <c r="S45" s="85"/>
      <c r="T45" s="85"/>
      <c r="U45" s="85"/>
      <c r="V45" s="85"/>
      <c r="W45" s="85"/>
      <c r="X45" s="85"/>
      <c r="Y45" s="85"/>
      <c r="AB45" s="70"/>
      <c r="AC45" s="70"/>
    </row>
    <row r="46" spans="2:29" s="69" customFormat="1" x14ac:dyDescent="0.3">
      <c r="B46" s="87"/>
      <c r="C46" s="87"/>
      <c r="D46" s="88"/>
      <c r="E46" s="89"/>
      <c r="F46" s="85"/>
      <c r="G46" s="85"/>
      <c r="H46" s="85"/>
      <c r="I46" s="88"/>
      <c r="J46" s="89"/>
      <c r="K46" s="89"/>
      <c r="L46" s="88"/>
      <c r="M46" s="89"/>
      <c r="N46" s="89"/>
      <c r="O46" s="88"/>
      <c r="P46" s="85"/>
      <c r="Q46" s="85"/>
      <c r="R46" s="85"/>
      <c r="S46" s="85"/>
      <c r="T46" s="85"/>
      <c r="U46" s="85"/>
      <c r="V46" s="85"/>
      <c r="W46" s="85"/>
      <c r="X46" s="85"/>
      <c r="Y46" s="85"/>
      <c r="AB46" s="70"/>
      <c r="AC46" s="70"/>
    </row>
    <row r="47" spans="2:29" s="69" customFormat="1" x14ac:dyDescent="0.3">
      <c r="B47" s="87"/>
      <c r="C47" s="87"/>
      <c r="D47" s="88"/>
      <c r="E47" s="89"/>
      <c r="F47" s="85"/>
      <c r="G47" s="85"/>
      <c r="H47" s="85"/>
      <c r="I47" s="88"/>
      <c r="J47" s="89"/>
      <c r="K47" s="89"/>
      <c r="L47" s="88"/>
      <c r="M47" s="89"/>
      <c r="N47" s="89"/>
      <c r="O47" s="88"/>
      <c r="P47" s="85"/>
      <c r="Q47" s="85"/>
      <c r="R47" s="85"/>
      <c r="S47" s="85"/>
      <c r="T47" s="85"/>
      <c r="U47" s="85"/>
      <c r="V47" s="85"/>
      <c r="W47" s="85"/>
      <c r="X47" s="85"/>
      <c r="Y47" s="85"/>
      <c r="AB47" s="70"/>
      <c r="AC47" s="70"/>
    </row>
    <row r="48" spans="2:29" s="69" customFormat="1" x14ac:dyDescent="0.3">
      <c r="B48" s="87"/>
      <c r="C48" s="87"/>
      <c r="D48" s="88"/>
      <c r="E48" s="89"/>
      <c r="F48" s="85"/>
      <c r="G48" s="85"/>
      <c r="H48" s="85"/>
      <c r="I48" s="88"/>
      <c r="J48" s="89"/>
      <c r="K48" s="89"/>
      <c r="L48" s="88"/>
      <c r="M48" s="89"/>
      <c r="N48" s="89"/>
      <c r="O48" s="88"/>
      <c r="P48" s="85"/>
      <c r="Q48" s="85"/>
      <c r="R48" s="85"/>
      <c r="S48" s="85"/>
      <c r="T48" s="85"/>
      <c r="U48" s="85"/>
      <c r="V48" s="85"/>
      <c r="W48" s="85"/>
      <c r="X48" s="85"/>
      <c r="Y48" s="85"/>
      <c r="AB48" s="70"/>
      <c r="AC48" s="70"/>
    </row>
    <row r="49" spans="2:29" s="69" customFormat="1" x14ac:dyDescent="0.3">
      <c r="B49" s="87"/>
      <c r="C49" s="87"/>
      <c r="D49" s="88"/>
      <c r="E49" s="89"/>
      <c r="F49" s="85"/>
      <c r="G49" s="85"/>
      <c r="H49" s="85"/>
      <c r="I49" s="88"/>
      <c r="J49" s="89"/>
      <c r="K49" s="89"/>
      <c r="L49" s="88"/>
      <c r="M49" s="89"/>
      <c r="N49" s="89"/>
      <c r="O49" s="88"/>
      <c r="P49" s="85"/>
      <c r="Q49" s="85"/>
      <c r="R49" s="85"/>
      <c r="S49" s="85"/>
      <c r="T49" s="85"/>
      <c r="U49" s="85"/>
      <c r="V49" s="85"/>
      <c r="W49" s="85"/>
      <c r="X49" s="85"/>
      <c r="Y49" s="85"/>
      <c r="AB49" s="70"/>
      <c r="AC49" s="70"/>
    </row>
    <row r="50" spans="2:29" s="69" customFormat="1" x14ac:dyDescent="0.3">
      <c r="B50" s="87"/>
      <c r="C50" s="87"/>
      <c r="D50" s="88"/>
      <c r="E50" s="89"/>
      <c r="F50" s="85"/>
      <c r="G50" s="85"/>
      <c r="H50" s="85"/>
      <c r="I50" s="88"/>
      <c r="J50" s="89"/>
      <c r="K50" s="89"/>
      <c r="L50" s="88"/>
      <c r="M50" s="89"/>
      <c r="N50" s="89"/>
      <c r="O50" s="88"/>
      <c r="P50" s="85"/>
      <c r="Q50" s="85"/>
      <c r="R50" s="85"/>
      <c r="S50" s="85"/>
      <c r="T50" s="85"/>
      <c r="U50" s="85"/>
      <c r="V50" s="85"/>
      <c r="W50" s="85"/>
      <c r="X50" s="85"/>
      <c r="Y50" s="85"/>
      <c r="AB50" s="70"/>
      <c r="AC50" s="70"/>
    </row>
    <row r="51" spans="2:29" s="69" customFormat="1" x14ac:dyDescent="0.3">
      <c r="B51" s="87"/>
      <c r="C51" s="87"/>
      <c r="D51" s="88"/>
      <c r="E51" s="89"/>
      <c r="F51" s="85"/>
      <c r="G51" s="85"/>
      <c r="H51" s="85"/>
      <c r="I51" s="88"/>
      <c r="J51" s="89"/>
      <c r="K51" s="89"/>
      <c r="L51" s="88"/>
      <c r="M51" s="89"/>
      <c r="N51" s="89"/>
      <c r="O51" s="88"/>
      <c r="P51" s="85"/>
      <c r="Q51" s="85"/>
      <c r="R51" s="85"/>
      <c r="S51" s="85"/>
      <c r="T51" s="85"/>
      <c r="U51" s="85"/>
      <c r="V51" s="85"/>
      <c r="W51" s="85"/>
      <c r="X51" s="85"/>
      <c r="Y51" s="85"/>
      <c r="AB51" s="70"/>
      <c r="AC51" s="70"/>
    </row>
    <row r="52" spans="2:29" s="69" customFormat="1" x14ac:dyDescent="0.3">
      <c r="B52" s="87"/>
      <c r="C52" s="87"/>
      <c r="D52" s="88"/>
      <c r="E52" s="89"/>
      <c r="F52" s="85"/>
      <c r="G52" s="85"/>
      <c r="H52" s="85"/>
      <c r="I52" s="88"/>
      <c r="J52" s="89"/>
      <c r="K52" s="89"/>
      <c r="L52" s="88"/>
      <c r="M52" s="89"/>
      <c r="N52" s="89"/>
      <c r="O52" s="88"/>
      <c r="P52" s="85"/>
      <c r="Q52" s="85"/>
      <c r="R52" s="85"/>
      <c r="S52" s="85"/>
      <c r="T52" s="85"/>
      <c r="U52" s="85"/>
      <c r="V52" s="85"/>
      <c r="W52" s="85"/>
      <c r="X52" s="85"/>
      <c r="Y52" s="85"/>
      <c r="AB52" s="70"/>
      <c r="AC52" s="70"/>
    </row>
    <row r="53" spans="2:29" s="69" customFormat="1" x14ac:dyDescent="0.3">
      <c r="B53" s="87"/>
      <c r="C53" s="87"/>
      <c r="D53" s="88"/>
      <c r="E53" s="89"/>
      <c r="F53" s="85"/>
      <c r="G53" s="85"/>
      <c r="H53" s="85"/>
      <c r="I53" s="88"/>
      <c r="J53" s="89"/>
      <c r="K53" s="89"/>
      <c r="L53" s="88"/>
      <c r="M53" s="89"/>
      <c r="N53" s="89"/>
      <c r="O53" s="88"/>
      <c r="P53" s="85"/>
      <c r="Q53" s="85"/>
      <c r="R53" s="85"/>
      <c r="S53" s="85"/>
      <c r="T53" s="85"/>
      <c r="U53" s="85"/>
      <c r="V53" s="85"/>
      <c r="W53" s="85"/>
      <c r="X53" s="85"/>
      <c r="Y53" s="85"/>
      <c r="AB53" s="70"/>
      <c r="AC53" s="70"/>
    </row>
    <row r="54" spans="2:29" s="69" customFormat="1" x14ac:dyDescent="0.3">
      <c r="B54" s="87"/>
      <c r="C54" s="87"/>
      <c r="D54" s="88"/>
      <c r="E54" s="89"/>
      <c r="F54" s="85"/>
      <c r="G54" s="85"/>
      <c r="H54" s="85"/>
      <c r="I54" s="88"/>
      <c r="J54" s="89"/>
      <c r="K54" s="89"/>
      <c r="L54" s="88"/>
      <c r="M54" s="89"/>
      <c r="N54" s="89"/>
      <c r="O54" s="88"/>
      <c r="P54" s="85"/>
      <c r="Q54" s="85"/>
      <c r="R54" s="85"/>
      <c r="S54" s="85"/>
      <c r="T54" s="85"/>
      <c r="U54" s="85"/>
      <c r="V54" s="85"/>
      <c r="W54" s="85"/>
      <c r="X54" s="85"/>
      <c r="Y54" s="85"/>
      <c r="AB54" s="70"/>
      <c r="AC54" s="70"/>
    </row>
    <row r="55" spans="2:29" s="69" customFormat="1" x14ac:dyDescent="0.3">
      <c r="B55" s="87"/>
      <c r="C55" s="87"/>
      <c r="D55" s="88"/>
      <c r="E55" s="89"/>
      <c r="F55" s="85"/>
      <c r="G55" s="85"/>
      <c r="H55" s="85"/>
      <c r="I55" s="88"/>
      <c r="J55" s="89"/>
      <c r="K55" s="89"/>
      <c r="L55" s="88"/>
      <c r="M55" s="89"/>
      <c r="N55" s="89"/>
      <c r="O55" s="88"/>
      <c r="P55" s="85"/>
      <c r="Q55" s="85"/>
      <c r="R55" s="85"/>
      <c r="S55" s="85"/>
      <c r="T55" s="85"/>
      <c r="U55" s="85"/>
      <c r="V55" s="85"/>
      <c r="W55" s="85"/>
      <c r="X55" s="85"/>
      <c r="Y55" s="85"/>
      <c r="AB55" s="70"/>
      <c r="AC55" s="70"/>
    </row>
    <row r="56" spans="2:29" s="69" customFormat="1" x14ac:dyDescent="0.3">
      <c r="B56" s="87"/>
      <c r="C56" s="87"/>
      <c r="D56" s="88"/>
      <c r="E56" s="89"/>
      <c r="F56" s="85"/>
      <c r="G56" s="85"/>
      <c r="H56" s="85"/>
      <c r="I56" s="88"/>
      <c r="J56" s="89"/>
      <c r="K56" s="89"/>
      <c r="L56" s="88"/>
      <c r="M56" s="89"/>
      <c r="N56" s="89"/>
      <c r="O56" s="88"/>
      <c r="P56" s="85"/>
      <c r="Q56" s="85"/>
      <c r="R56" s="85"/>
      <c r="S56" s="85"/>
      <c r="T56" s="85"/>
      <c r="U56" s="85"/>
      <c r="V56" s="85"/>
      <c r="W56" s="85"/>
      <c r="X56" s="85"/>
      <c r="Y56" s="85"/>
      <c r="AB56" s="70"/>
      <c r="AC56" s="70"/>
    </row>
    <row r="57" spans="2:29" s="69" customFormat="1" x14ac:dyDescent="0.3">
      <c r="B57" s="87"/>
      <c r="C57" s="87"/>
      <c r="D57" s="88"/>
      <c r="E57" s="89"/>
      <c r="F57" s="85"/>
      <c r="G57" s="85"/>
      <c r="H57" s="85"/>
      <c r="I57" s="88"/>
      <c r="J57" s="89"/>
      <c r="K57" s="89"/>
      <c r="L57" s="88"/>
      <c r="M57" s="89"/>
      <c r="N57" s="89"/>
      <c r="O57" s="88"/>
      <c r="P57" s="85"/>
      <c r="Q57" s="85"/>
      <c r="R57" s="85"/>
      <c r="S57" s="85"/>
      <c r="T57" s="85"/>
      <c r="U57" s="85"/>
      <c r="V57" s="85"/>
      <c r="W57" s="85"/>
      <c r="X57" s="85"/>
      <c r="Y57" s="85"/>
      <c r="AB57" s="70"/>
      <c r="AC57" s="70"/>
    </row>
    <row r="58" spans="2:29" s="69" customFormat="1" x14ac:dyDescent="0.3">
      <c r="B58" s="87"/>
      <c r="C58" s="87"/>
      <c r="D58" s="88"/>
      <c r="E58" s="89"/>
      <c r="F58" s="85"/>
      <c r="G58" s="85"/>
      <c r="H58" s="85"/>
      <c r="I58" s="88"/>
      <c r="J58" s="89"/>
      <c r="K58" s="89"/>
      <c r="L58" s="88"/>
      <c r="M58" s="89"/>
      <c r="N58" s="89"/>
      <c r="O58" s="88"/>
      <c r="P58" s="85"/>
      <c r="Q58" s="85"/>
      <c r="R58" s="85"/>
      <c r="S58" s="85"/>
      <c r="T58" s="85"/>
      <c r="U58" s="85"/>
      <c r="V58" s="85"/>
      <c r="W58" s="85"/>
      <c r="X58" s="85"/>
      <c r="Y58" s="85"/>
      <c r="AB58" s="70"/>
      <c r="AC58" s="70"/>
    </row>
    <row r="59" spans="2:29" s="69" customFormat="1" x14ac:dyDescent="0.3">
      <c r="B59" s="87"/>
      <c r="C59" s="87"/>
      <c r="D59" s="88"/>
      <c r="E59" s="89"/>
      <c r="F59" s="85"/>
      <c r="G59" s="85"/>
      <c r="H59" s="85"/>
      <c r="I59" s="88"/>
      <c r="J59" s="89"/>
      <c r="K59" s="89"/>
      <c r="L59" s="88"/>
      <c r="M59" s="89"/>
      <c r="N59" s="89"/>
      <c r="O59" s="88"/>
      <c r="P59" s="85"/>
      <c r="Q59" s="85"/>
      <c r="R59" s="85"/>
      <c r="S59" s="85"/>
      <c r="T59" s="85"/>
      <c r="U59" s="85"/>
      <c r="V59" s="85"/>
      <c r="W59" s="85"/>
      <c r="X59" s="85"/>
      <c r="Y59" s="85"/>
      <c r="AB59" s="70"/>
      <c r="AC59" s="70"/>
    </row>
    <row r="60" spans="2:29" s="69" customFormat="1" x14ac:dyDescent="0.3">
      <c r="B60" s="87"/>
      <c r="C60" s="87"/>
      <c r="D60" s="88"/>
      <c r="E60" s="89"/>
      <c r="F60" s="85"/>
      <c r="G60" s="85"/>
      <c r="H60" s="85"/>
      <c r="I60" s="88"/>
      <c r="J60" s="89"/>
      <c r="K60" s="89"/>
      <c r="L60" s="88"/>
      <c r="M60" s="89"/>
      <c r="N60" s="89"/>
      <c r="O60" s="88"/>
      <c r="P60" s="85"/>
      <c r="Q60" s="85"/>
      <c r="R60" s="85"/>
      <c r="S60" s="85"/>
      <c r="T60" s="85"/>
      <c r="U60" s="85"/>
      <c r="V60" s="85"/>
      <c r="W60" s="85"/>
      <c r="X60" s="85"/>
      <c r="Y60" s="85"/>
      <c r="AB60" s="70"/>
      <c r="AC60" s="70"/>
    </row>
  </sheetData>
  <mergeCells count="5">
    <mergeCell ref="E5:H5"/>
    <mergeCell ref="J5:K5"/>
    <mergeCell ref="M5:N5"/>
    <mergeCell ref="P5:S5"/>
    <mergeCell ref="U5:X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8768-231E-4462-B168-72781DC110EA}">
  <dimension ref="B2:H23"/>
  <sheetViews>
    <sheetView showGridLines="0" topLeftCell="C1" workbookViewId="0">
      <selection activeCell="BC25" sqref="BC25"/>
    </sheetView>
  </sheetViews>
  <sheetFormatPr defaultColWidth="9.140625" defaultRowHeight="15.75" x14ac:dyDescent="0.3"/>
  <cols>
    <col min="1" max="2" width="9.140625" style="90"/>
    <col min="3" max="3" width="70.5703125" style="90" bestFit="1" customWidth="1"/>
    <col min="4" max="4" width="8.7109375" style="90" customWidth="1"/>
    <col min="5" max="5" width="10.85546875" style="90" customWidth="1"/>
    <col min="6" max="6" width="11.42578125" style="90" bestFit="1" customWidth="1"/>
    <col min="7" max="7" width="9.140625" style="90"/>
    <col min="8" max="8" width="20.140625" style="90" customWidth="1"/>
    <col min="9" max="16384" width="9.140625" style="90"/>
  </cols>
  <sheetData>
    <row r="2" spans="2:8" x14ac:dyDescent="0.3">
      <c r="C2" s="90" t="s">
        <v>79</v>
      </c>
      <c r="F2" s="90" t="s">
        <v>80</v>
      </c>
    </row>
    <row r="3" spans="2:8" x14ac:dyDescent="0.3">
      <c r="C3" s="71"/>
      <c r="D3" s="71" t="s">
        <v>81</v>
      </c>
      <c r="E3" s="71" t="s">
        <v>82</v>
      </c>
      <c r="F3" s="91" t="s">
        <v>83</v>
      </c>
      <c r="H3" s="71" t="s">
        <v>74</v>
      </c>
    </row>
    <row r="4" spans="2:8" x14ac:dyDescent="0.3">
      <c r="B4" s="92" t="s">
        <v>72</v>
      </c>
      <c r="C4" s="90" t="s">
        <v>84</v>
      </c>
      <c r="D4" s="90" t="s">
        <v>85</v>
      </c>
      <c r="E4" s="93">
        <v>1127.4323999999999</v>
      </c>
      <c r="F4" s="93">
        <v>1202.1647</v>
      </c>
    </row>
    <row r="5" spans="2:8" x14ac:dyDescent="0.3">
      <c r="B5" s="92"/>
      <c r="C5" s="90" t="s">
        <v>86</v>
      </c>
      <c r="D5" s="90" t="s">
        <v>87</v>
      </c>
      <c r="E5" s="94"/>
      <c r="F5" s="94">
        <v>24.672831564999999</v>
      </c>
    </row>
    <row r="6" spans="2:8" x14ac:dyDescent="0.3">
      <c r="B6" s="92"/>
      <c r="C6" s="90" t="s">
        <v>88</v>
      </c>
      <c r="D6" s="90" t="s">
        <v>3</v>
      </c>
      <c r="E6" s="93">
        <v>1953.4317980000001</v>
      </c>
      <c r="F6" s="93">
        <v>2077.5693630000001</v>
      </c>
    </row>
    <row r="7" spans="2:8" x14ac:dyDescent="0.3">
      <c r="B7" s="92"/>
      <c r="C7" s="90" t="s">
        <v>89</v>
      </c>
      <c r="D7" s="90" t="s">
        <v>90</v>
      </c>
      <c r="E7" s="93">
        <v>314</v>
      </c>
      <c r="F7" s="93">
        <v>317</v>
      </c>
    </row>
    <row r="9" spans="2:8" x14ac:dyDescent="0.3">
      <c r="B9" s="92" t="s">
        <v>4</v>
      </c>
      <c r="C9" s="90" t="s">
        <v>84</v>
      </c>
      <c r="D9" s="90" t="s">
        <v>85</v>
      </c>
      <c r="E9" s="93">
        <v>285.529</v>
      </c>
      <c r="F9" s="93">
        <v>301.46199999999999</v>
      </c>
      <c r="G9" s="93"/>
    </row>
    <row r="10" spans="2:8" x14ac:dyDescent="0.3">
      <c r="B10" s="92"/>
      <c r="C10" s="90" t="s">
        <v>86</v>
      </c>
      <c r="D10" s="90" t="s">
        <v>87</v>
      </c>
      <c r="E10" s="94"/>
      <c r="F10" s="94">
        <v>5.4308764719999996</v>
      </c>
      <c r="G10" s="93"/>
    </row>
    <row r="11" spans="2:8" x14ac:dyDescent="0.3">
      <c r="B11" s="92"/>
      <c r="C11" s="90" t="s">
        <v>88</v>
      </c>
      <c r="D11" s="90" t="s">
        <v>3</v>
      </c>
      <c r="E11" s="94">
        <v>443.694345</v>
      </c>
      <c r="F11" s="94">
        <v>466.78530799999999</v>
      </c>
      <c r="G11" s="93"/>
    </row>
    <row r="12" spans="2:8" x14ac:dyDescent="0.3">
      <c r="B12" s="92"/>
      <c r="C12" s="90" t="s">
        <v>89</v>
      </c>
      <c r="D12" s="90" t="s">
        <v>90</v>
      </c>
      <c r="E12" s="94">
        <v>77</v>
      </c>
      <c r="F12" s="93">
        <v>81</v>
      </c>
      <c r="G12" s="93"/>
    </row>
    <row r="13" spans="2:8" x14ac:dyDescent="0.3">
      <c r="E13" s="93"/>
      <c r="F13" s="93"/>
      <c r="G13" s="93"/>
    </row>
    <row r="14" spans="2:8" x14ac:dyDescent="0.3">
      <c r="B14" s="92" t="s">
        <v>7</v>
      </c>
      <c r="C14" s="90" t="s">
        <v>84</v>
      </c>
      <c r="D14" s="90" t="s">
        <v>85</v>
      </c>
      <c r="E14" s="93">
        <v>346.54240000000004</v>
      </c>
      <c r="F14" s="93">
        <v>337.35140000000001</v>
      </c>
      <c r="G14" s="93"/>
    </row>
    <row r="15" spans="2:8" x14ac:dyDescent="0.3">
      <c r="B15" s="92"/>
      <c r="C15" s="90" t="s">
        <v>86</v>
      </c>
      <c r="D15" s="90" t="s">
        <v>87</v>
      </c>
      <c r="E15" s="94"/>
      <c r="F15" s="94">
        <v>8.2709899470000003</v>
      </c>
      <c r="G15" s="93"/>
    </row>
    <row r="16" spans="2:8" x14ac:dyDescent="0.3">
      <c r="B16" s="92"/>
      <c r="C16" s="90" t="s">
        <v>88</v>
      </c>
      <c r="D16" s="90" t="s">
        <v>3</v>
      </c>
      <c r="E16" s="94">
        <v>718.17227100000002</v>
      </c>
      <c r="F16" s="94">
        <v>707.564029</v>
      </c>
      <c r="G16" s="93"/>
    </row>
    <row r="17" spans="2:7" x14ac:dyDescent="0.3">
      <c r="B17" s="92"/>
      <c r="C17" s="90" t="s">
        <v>89</v>
      </c>
      <c r="D17" s="90" t="s">
        <v>90</v>
      </c>
      <c r="E17" s="94">
        <v>86</v>
      </c>
      <c r="F17" s="93">
        <v>68</v>
      </c>
      <c r="G17" s="93"/>
    </row>
    <row r="18" spans="2:7" x14ac:dyDescent="0.3">
      <c r="E18" s="93"/>
      <c r="F18" s="93"/>
      <c r="G18" s="93"/>
    </row>
    <row r="19" spans="2:7" x14ac:dyDescent="0.3">
      <c r="B19" s="92" t="s">
        <v>10</v>
      </c>
      <c r="C19" s="90" t="s">
        <v>84</v>
      </c>
      <c r="D19" s="90" t="s">
        <v>85</v>
      </c>
      <c r="E19" s="93">
        <v>495.36099999999999</v>
      </c>
      <c r="F19" s="93">
        <v>563.35130000000004</v>
      </c>
      <c r="G19" s="93"/>
    </row>
    <row r="20" spans="2:7" x14ac:dyDescent="0.3">
      <c r="B20" s="92"/>
      <c r="C20" s="90" t="s">
        <v>86</v>
      </c>
      <c r="D20" s="90" t="s">
        <v>87</v>
      </c>
      <c r="E20" s="93"/>
      <c r="F20" s="94">
        <v>10.970965145999999</v>
      </c>
      <c r="G20" s="93"/>
    </row>
    <row r="21" spans="2:7" x14ac:dyDescent="0.3">
      <c r="B21" s="92"/>
      <c r="C21" s="90" t="s">
        <v>88</v>
      </c>
      <c r="D21" s="90" t="s">
        <v>3</v>
      </c>
      <c r="E21" s="94">
        <v>791.56518200000005</v>
      </c>
      <c r="F21" s="94">
        <v>903.22002599999996</v>
      </c>
      <c r="G21" s="93"/>
    </row>
    <row r="22" spans="2:7" x14ac:dyDescent="0.3">
      <c r="B22" s="92"/>
      <c r="C22" s="90" t="s">
        <v>89</v>
      </c>
      <c r="D22" s="90" t="s">
        <v>90</v>
      </c>
      <c r="E22" s="94">
        <v>151</v>
      </c>
      <c r="F22" s="93">
        <v>168</v>
      </c>
      <c r="G22" s="93"/>
    </row>
    <row r="23" spans="2:7" x14ac:dyDescent="0.3">
      <c r="F23" s="9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F718-881A-4E28-B890-B0D8008D8B7C}">
  <dimension ref="B3:D7"/>
  <sheetViews>
    <sheetView showGridLines="0" workbookViewId="0">
      <selection activeCell="BC25" sqref="BC25"/>
    </sheetView>
  </sheetViews>
  <sheetFormatPr defaultRowHeight="10.5" x14ac:dyDescent="0.15"/>
  <cols>
    <col min="1" max="1" width="1.140625" style="1" customWidth="1"/>
    <col min="2" max="2" width="9.140625" style="1"/>
    <col min="3" max="3" width="12.140625" style="2" bestFit="1" customWidth="1"/>
    <col min="4" max="4" width="10.7109375" style="1" customWidth="1"/>
    <col min="5" max="16384" width="9.140625" style="1"/>
  </cols>
  <sheetData>
    <row r="3" spans="2:4" x14ac:dyDescent="0.15">
      <c r="B3" s="95" t="s">
        <v>91</v>
      </c>
      <c r="C3" s="10" t="s">
        <v>92</v>
      </c>
      <c r="D3" s="10" t="s">
        <v>93</v>
      </c>
    </row>
    <row r="4" spans="2:4" ht="15" x14ac:dyDescent="0.25">
      <c r="B4" s="1" t="s">
        <v>40</v>
      </c>
      <c r="C4" s="96">
        <v>119.2888919264945</v>
      </c>
      <c r="D4" s="97">
        <v>379.79895126061035</v>
      </c>
    </row>
    <row r="5" spans="2:4" x14ac:dyDescent="0.15">
      <c r="B5" s="1" t="s">
        <v>41</v>
      </c>
    </row>
    <row r="6" spans="2:4" x14ac:dyDescent="0.15">
      <c r="B6" s="1" t="s">
        <v>42</v>
      </c>
    </row>
    <row r="7" spans="2:4" x14ac:dyDescent="0.15">
      <c r="B7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EC82-53BB-4E34-A45B-37A12D5AE77C}">
  <dimension ref="A1:H17"/>
  <sheetViews>
    <sheetView showGridLines="0" tabSelected="1" workbookViewId="0">
      <selection activeCell="BC25" sqref="BC25"/>
    </sheetView>
  </sheetViews>
  <sheetFormatPr defaultRowHeight="10.5" x14ac:dyDescent="0.15"/>
  <cols>
    <col min="1" max="1" width="4.7109375" style="1" customWidth="1"/>
    <col min="2" max="2" width="9.140625" style="1"/>
    <col min="3" max="6" width="10.28515625" style="1" customWidth="1"/>
    <col min="7" max="7" width="9.140625" style="1"/>
    <col min="8" max="8" width="9" style="1" bestFit="1" customWidth="1"/>
    <col min="9" max="16384" width="9.140625" style="1"/>
  </cols>
  <sheetData>
    <row r="1" spans="1:8" x14ac:dyDescent="0.15">
      <c r="H1" s="1" t="s">
        <v>94</v>
      </c>
    </row>
    <row r="2" spans="1:8" x14ac:dyDescent="0.15">
      <c r="H2" s="98">
        <v>46128</v>
      </c>
    </row>
    <row r="3" spans="1:8" x14ac:dyDescent="0.15">
      <c r="B3" s="4" t="s">
        <v>95</v>
      </c>
    </row>
    <row r="4" spans="1:8" x14ac:dyDescent="0.15">
      <c r="B4" s="99" t="s">
        <v>96</v>
      </c>
      <c r="C4" s="10" t="s">
        <v>4</v>
      </c>
      <c r="D4" s="10" t="s">
        <v>7</v>
      </c>
      <c r="E4" s="10" t="s">
        <v>10</v>
      </c>
      <c r="F4" s="10" t="s">
        <v>72</v>
      </c>
    </row>
    <row r="5" spans="1:8" x14ac:dyDescent="0.15">
      <c r="B5" s="1" t="s">
        <v>40</v>
      </c>
      <c r="C5" s="100">
        <v>3303478</v>
      </c>
      <c r="D5" s="100">
        <v>20078932</v>
      </c>
      <c r="E5" s="100">
        <v>202672</v>
      </c>
      <c r="F5" s="100">
        <f t="shared" ref="F5:F8" si="0">+SUM(C5:E5)</f>
        <v>23585082</v>
      </c>
    </row>
    <row r="6" spans="1:8" x14ac:dyDescent="0.15">
      <c r="B6" s="1" t="s">
        <v>41</v>
      </c>
      <c r="C6" s="100">
        <v>0</v>
      </c>
      <c r="D6" s="100">
        <v>250000</v>
      </c>
      <c r="E6" s="100">
        <v>280000</v>
      </c>
      <c r="F6" s="100">
        <f t="shared" si="0"/>
        <v>530000</v>
      </c>
      <c r="G6" s="101" t="s">
        <v>97</v>
      </c>
    </row>
    <row r="7" spans="1:8" x14ac:dyDescent="0.15">
      <c r="B7" s="1" t="s">
        <v>42</v>
      </c>
      <c r="C7" s="100">
        <v>0</v>
      </c>
      <c r="D7" s="100">
        <v>0</v>
      </c>
      <c r="E7" s="100">
        <v>0</v>
      </c>
      <c r="F7" s="100">
        <f t="shared" si="0"/>
        <v>0</v>
      </c>
    </row>
    <row r="8" spans="1:8" x14ac:dyDescent="0.15">
      <c r="B8" s="1" t="s">
        <v>43</v>
      </c>
      <c r="C8" s="100">
        <v>0</v>
      </c>
      <c r="D8" s="100">
        <v>0</v>
      </c>
      <c r="E8" s="100">
        <v>0</v>
      </c>
      <c r="F8" s="100">
        <f t="shared" si="0"/>
        <v>0</v>
      </c>
    </row>
    <row r="9" spans="1:8" ht="11.25" thickBot="1" x14ac:dyDescent="0.2">
      <c r="B9" s="102" t="s">
        <v>98</v>
      </c>
      <c r="C9" s="103">
        <f>+SUM(C5:C8)</f>
        <v>3303478</v>
      </c>
      <c r="D9" s="103">
        <f>+SUM(D5:D8)</f>
        <v>20328932</v>
      </c>
      <c r="E9" s="103">
        <f>+SUM(E5:E8)</f>
        <v>482672</v>
      </c>
      <c r="F9" s="103">
        <f>+SUM(C9:E9)</f>
        <v>24115082</v>
      </c>
      <c r="G9" s="104">
        <v>0</v>
      </c>
    </row>
    <row r="10" spans="1:8" x14ac:dyDescent="0.15">
      <c r="B10" s="4"/>
      <c r="C10" s="105"/>
      <c r="D10" s="105"/>
      <c r="E10" s="105"/>
      <c r="F10" s="105"/>
    </row>
    <row r="11" spans="1:8" x14ac:dyDescent="0.15">
      <c r="A11" s="4"/>
      <c r="B11" s="4" t="s">
        <v>99</v>
      </c>
      <c r="C11" s="105"/>
      <c r="D11" s="105"/>
      <c r="E11" s="105"/>
      <c r="F11" s="105"/>
    </row>
    <row r="12" spans="1:8" x14ac:dyDescent="0.15">
      <c r="B12" s="56" t="s">
        <v>100</v>
      </c>
      <c r="C12" s="56" t="s">
        <v>4</v>
      </c>
      <c r="D12" s="56" t="s">
        <v>7</v>
      </c>
      <c r="E12" s="56" t="s">
        <v>10</v>
      </c>
      <c r="F12" s="56" t="s">
        <v>72</v>
      </c>
    </row>
    <row r="13" spans="1:8" x14ac:dyDescent="0.15">
      <c r="B13" s="1" t="s">
        <v>40</v>
      </c>
      <c r="C13" s="100">
        <v>6</v>
      </c>
      <c r="D13" s="100">
        <v>15</v>
      </c>
      <c r="E13" s="100">
        <v>16</v>
      </c>
      <c r="F13" s="100">
        <f>SUM(C13:E13)</f>
        <v>37</v>
      </c>
    </row>
    <row r="14" spans="1:8" x14ac:dyDescent="0.15">
      <c r="B14" s="1" t="s">
        <v>41</v>
      </c>
      <c r="C14" s="100">
        <v>0</v>
      </c>
      <c r="D14" s="100">
        <v>4</v>
      </c>
      <c r="E14" s="100">
        <v>3</v>
      </c>
      <c r="F14" s="100">
        <f>SUM(C14:E14)</f>
        <v>7</v>
      </c>
      <c r="G14" s="101" t="s">
        <v>97</v>
      </c>
    </row>
    <row r="15" spans="1:8" x14ac:dyDescent="0.15">
      <c r="B15" s="1" t="s">
        <v>42</v>
      </c>
      <c r="C15" s="100">
        <v>0</v>
      </c>
      <c r="D15" s="100">
        <v>0</v>
      </c>
      <c r="E15" s="100">
        <v>0</v>
      </c>
      <c r="F15" s="100">
        <f>SUM(C15:E15)</f>
        <v>0</v>
      </c>
    </row>
    <row r="16" spans="1:8" x14ac:dyDescent="0.15">
      <c r="B16" s="1" t="s">
        <v>43</v>
      </c>
      <c r="C16" s="100">
        <v>0</v>
      </c>
      <c r="D16" s="100">
        <v>0</v>
      </c>
      <c r="E16" s="100">
        <v>0</v>
      </c>
      <c r="F16" s="100">
        <f>SUM(C16:E16)</f>
        <v>0</v>
      </c>
    </row>
    <row r="17" spans="2:7" ht="11.25" thickBot="1" x14ac:dyDescent="0.2">
      <c r="B17" s="102" t="s">
        <v>98</v>
      </c>
      <c r="C17" s="103">
        <f>SUM(C13:C16)</f>
        <v>6</v>
      </c>
      <c r="D17" s="103">
        <f>SUM(D13:D16)</f>
        <v>19</v>
      </c>
      <c r="E17" s="103">
        <f>SUM(E13:E16)</f>
        <v>19</v>
      </c>
      <c r="F17" s="103">
        <f>SUM(C17:E17)</f>
        <v>44</v>
      </c>
      <c r="G17" s="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och Utfall</vt:lpstr>
      <vt:lpstr>Vakans &amp; Duration</vt:lpstr>
      <vt:lpstr>Fastigheter per region</vt:lpstr>
      <vt:lpstr>Optionsprogram</vt:lpstr>
      <vt:lpstr>Nettouthyrning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Johannessen</dc:creator>
  <cp:lastModifiedBy>Josefine Johannessen</cp:lastModifiedBy>
  <dcterms:created xsi:type="dcterms:W3CDTF">2026-04-27T09:49:30Z</dcterms:created>
  <dcterms:modified xsi:type="dcterms:W3CDTF">2026-04-27T09:50:03Z</dcterms:modified>
</cp:coreProperties>
</file>